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codeName="ThisWorkbook" defaultThemeVersion="166925"/>
  <mc:AlternateContent xmlns:mc="http://schemas.openxmlformats.org/markup-compatibility/2006">
    <mc:Choice Requires="x15">
      <x15ac:absPath xmlns:x15ac="http://schemas.microsoft.com/office/spreadsheetml/2010/11/ac" url="/Users/pesseiva/Documents/GitHub/ESC_Monitoring/"/>
    </mc:Choice>
  </mc:AlternateContent>
  <xr:revisionPtr revIDLastSave="0" documentId="8_{ABBD4252-8395-CC4A-8499-D570C1417BC2}" xr6:coauthVersionLast="47" xr6:coauthVersionMax="47" xr10:uidLastSave="{00000000-0000-0000-0000-000000000000}"/>
  <bookViews>
    <workbookView xWindow="0" yWindow="660" windowWidth="34560" windowHeight="20400" activeTab="1" xr2:uid="{E20D2BF0-492F-8147-8486-5B9659177CA4}"/>
  </bookViews>
  <sheets>
    <sheet name="data" sheetId="1" r:id="rId1"/>
    <sheet name="cocaine_HCl" sheetId="2" r:id="rId2"/>
    <sheet name="cocaine_base" sheetId="4" r:id="rId3"/>
    <sheet name="Hero" sheetId="3" r:id="rId4"/>
    <sheet name="Coupages NIR" sheetId="6" r:id="rId5"/>
    <sheet name="Basification" sheetId="7" r:id="rId6"/>
    <sheet name="Ages et sexe (antenne)" sheetId="8" r:id="rId7"/>
    <sheet name="Boulettes" sheetId="10" r:id="rId8"/>
    <sheet name="Pacson" sheetId="11" r:id="rId9"/>
  </sheets>
  <definedNames>
    <definedName name="_xlnm._FilterDatabase" localSheetId="2" hidden="1">cocaine_base!$X$1:$Z$128</definedName>
    <definedName name="_xlnm._FilterDatabase" localSheetId="3" hidden="1">Hero!$T$1:$V$97</definedName>
    <definedName name="_xlchart.v1.0" hidden="1">cocaine_HCl!$D$2:$D$400</definedName>
    <definedName name="_xlchart.v1.1" hidden="1">cocaine_base!$E$2:$E$226</definedName>
    <definedName name="_xlchart.v1.2" hidden="1">Hero!$E$2:$E$155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4" i="4" l="1"/>
  <c r="H77" i="3"/>
  <c r="I103" i="2"/>
  <c r="P355" i="8"/>
  <c r="P354" i="8"/>
  <c r="N357" i="8"/>
  <c r="N356" i="8"/>
  <c r="N355" i="8"/>
  <c r="N354" i="8"/>
  <c r="L357" i="8"/>
  <c r="L356" i="8"/>
  <c r="L355" i="8"/>
  <c r="L354" i="8"/>
  <c r="J231" i="7"/>
  <c r="J229" i="7"/>
  <c r="J223" i="7"/>
  <c r="J225" i="7"/>
  <c r="J227" i="7"/>
  <c r="J221" i="7"/>
  <c r="S68" i="6"/>
  <c r="R68" i="6"/>
  <c r="Q68" i="6"/>
  <c r="P68" i="6"/>
  <c r="O68" i="6"/>
  <c r="N68" i="6"/>
  <c r="M68" i="6"/>
  <c r="L68" i="6"/>
  <c r="K68" i="6"/>
  <c r="J217" i="7"/>
  <c r="J219" i="7"/>
  <c r="X58" i="1"/>
  <c r="AF58" i="1"/>
  <c r="X59" i="1"/>
  <c r="AF59" i="1"/>
  <c r="X60" i="1"/>
  <c r="AF60" i="1"/>
  <c r="X61" i="1"/>
  <c r="AF61" i="1"/>
  <c r="X62" i="1"/>
  <c r="AF62" i="1"/>
  <c r="X63" i="1"/>
  <c r="AF63" i="1"/>
  <c r="X64" i="1"/>
  <c r="AF64" i="1"/>
  <c r="X65" i="1"/>
  <c r="AF65" i="1"/>
  <c r="X66" i="1"/>
  <c r="AF66" i="1"/>
  <c r="X67" i="1"/>
  <c r="AF67" i="1"/>
  <c r="AE68" i="1"/>
  <c r="AD68" i="1"/>
  <c r="AC68" i="1"/>
  <c r="AB68" i="1"/>
  <c r="AA68" i="1"/>
  <c r="W68" i="1"/>
  <c r="V68" i="1"/>
  <c r="U68" i="1"/>
  <c r="T68" i="1"/>
  <c r="S68" i="1"/>
  <c r="R68" i="1"/>
  <c r="Q68" i="1"/>
  <c r="P68" i="1"/>
  <c r="O68" i="1"/>
  <c r="N68" i="1"/>
  <c r="M68" i="1"/>
  <c r="H76" i="3"/>
  <c r="I93" i="4"/>
  <c r="I102" i="2"/>
  <c r="N348" i="8"/>
  <c r="L348" i="8"/>
  <c r="N347" i="8"/>
  <c r="L347" i="8"/>
  <c r="P346" i="8"/>
  <c r="N346" i="8"/>
  <c r="L346" i="8"/>
  <c r="P345" i="8"/>
  <c r="N345" i="8"/>
  <c r="L345" i="8"/>
  <c r="I92" i="4"/>
  <c r="AD2" i="4" a="1"/>
  <c r="AD2" i="4" s="1"/>
  <c r="H75" i="3"/>
  <c r="I101" i="2"/>
  <c r="S2" i="8"/>
  <c r="T5" i="8" a="1"/>
  <c r="T5" i="8" s="1"/>
  <c r="N341" i="8"/>
  <c r="L341" i="8"/>
  <c r="N340" i="8"/>
  <c r="L340" i="8"/>
  <c r="P339" i="8"/>
  <c r="N339" i="8"/>
  <c r="L339" i="8"/>
  <c r="P338" i="8"/>
  <c r="N338" i="8"/>
  <c r="L338" i="8"/>
  <c r="X57" i="1"/>
  <c r="AF57" i="1"/>
  <c r="J215" i="7"/>
  <c r="J209" i="7"/>
  <c r="J211" i="7"/>
  <c r="J213" i="7"/>
  <c r="AN14" i="6"/>
  <c r="N334" i="8"/>
  <c r="L334" i="8"/>
  <c r="N333" i="8"/>
  <c r="L333" i="8"/>
  <c r="P332" i="8"/>
  <c r="N332" i="8"/>
  <c r="L332" i="8"/>
  <c r="P331" i="8"/>
  <c r="N331" i="8"/>
  <c r="L331" i="8"/>
  <c r="N328" i="8"/>
  <c r="L328" i="8"/>
  <c r="N327" i="8"/>
  <c r="L327" i="8"/>
  <c r="P326" i="8"/>
  <c r="N326" i="8"/>
  <c r="L326" i="8"/>
  <c r="P325" i="8"/>
  <c r="N325" i="8"/>
  <c r="L325" i="8"/>
  <c r="AF56" i="1"/>
  <c r="AF55" i="1"/>
  <c r="X56" i="1"/>
  <c r="X55" i="1"/>
  <c r="H74" i="3"/>
  <c r="H73" i="3"/>
  <c r="I91" i="4"/>
  <c r="I90" i="4"/>
  <c r="I100" i="2"/>
  <c r="I99" i="2"/>
  <c r="J201" i="7"/>
  <c r="J203" i="7"/>
  <c r="J205" i="7"/>
  <c r="J207" i="7"/>
  <c r="H72" i="3"/>
  <c r="AF54" i="1"/>
  <c r="X54" i="1"/>
  <c r="I89" i="4"/>
  <c r="I98" i="2"/>
  <c r="N319" i="8"/>
  <c r="L319" i="8"/>
  <c r="N318" i="8"/>
  <c r="L318" i="8"/>
  <c r="P317" i="8"/>
  <c r="N317" i="8"/>
  <c r="L317" i="8"/>
  <c r="P316" i="8"/>
  <c r="N316" i="8"/>
  <c r="L316" i="8"/>
  <c r="J199" i="7"/>
  <c r="J197" i="7"/>
  <c r="J3" i="10"/>
  <c r="E71" i="11"/>
  <c r="E70" i="11"/>
  <c r="E69" i="11"/>
  <c r="AF53" i="1"/>
  <c r="X53" i="1"/>
  <c r="L306" i="8"/>
  <c r="N309" i="8"/>
  <c r="L309" i="8"/>
  <c r="N308" i="8"/>
  <c r="L308" i="8"/>
  <c r="P307" i="8"/>
  <c r="N307" i="8"/>
  <c r="L307" i="8"/>
  <c r="P306" i="8"/>
  <c r="N306" i="8"/>
  <c r="J195" i="7"/>
  <c r="H71" i="3"/>
  <c r="I88" i="4"/>
  <c r="I97" i="2"/>
  <c r="AF68" i="1" l="1"/>
  <c r="X68" i="1"/>
  <c r="AF52" i="1"/>
  <c r="X52" i="1"/>
  <c r="AF51" i="1"/>
  <c r="AA73" i="1"/>
  <c r="AA71" i="1"/>
  <c r="AA70" i="1"/>
  <c r="AA72" i="1"/>
  <c r="X51" i="1"/>
  <c r="H70" i="3" l="1"/>
  <c r="I87" i="4"/>
  <c r="I96" i="2"/>
  <c r="J193" i="7"/>
  <c r="T304" i="8"/>
  <c r="T303" i="8"/>
  <c r="R304" i="8"/>
  <c r="R303" i="8"/>
  <c r="P304" i="8"/>
  <c r="P303" i="8"/>
  <c r="N304" i="8"/>
  <c r="N303" i="8"/>
  <c r="L304" i="8"/>
  <c r="L303" i="8"/>
  <c r="I86" i="4" l="1"/>
  <c r="I95" i="2"/>
  <c r="J191" i="7"/>
  <c r="H69" i="3"/>
  <c r="N299" i="8"/>
  <c r="L299" i="8"/>
  <c r="N298" i="8"/>
  <c r="L298" i="8"/>
  <c r="P297" i="8"/>
  <c r="N297" i="8"/>
  <c r="L297" i="8"/>
  <c r="P296" i="8"/>
  <c r="N296" i="8"/>
  <c r="L296" i="8"/>
  <c r="J185" i="7"/>
  <c r="J187" i="7"/>
  <c r="J189" i="7"/>
  <c r="H68" i="3"/>
  <c r="I85" i="4"/>
  <c r="I94" i="2"/>
  <c r="N293" i="8"/>
  <c r="L293" i="8"/>
  <c r="N292" i="8"/>
  <c r="L292" i="8"/>
  <c r="P291" i="8"/>
  <c r="N291" i="8"/>
  <c r="L291" i="8"/>
  <c r="P290" i="8"/>
  <c r="N290" i="8"/>
  <c r="L290" i="8"/>
  <c r="AF50" i="1"/>
  <c r="H67" i="3"/>
  <c r="I84" i="4"/>
  <c r="I93" i="2"/>
  <c r="AF49" i="1"/>
  <c r="L282" i="8"/>
  <c r="N285" i="8"/>
  <c r="L285" i="8"/>
  <c r="N284" i="8"/>
  <c r="L284" i="8"/>
  <c r="P283" i="8"/>
  <c r="N283" i="8"/>
  <c r="L283" i="8"/>
  <c r="P282" i="8"/>
  <c r="N282" i="8"/>
  <c r="J183" i="7" l="1"/>
  <c r="J179" i="7"/>
  <c r="J181" i="7"/>
  <c r="AF48" i="1"/>
  <c r="N279" i="8"/>
  <c r="L279" i="8"/>
  <c r="N278" i="8"/>
  <c r="L278" i="8"/>
  <c r="P277" i="8"/>
  <c r="N277" i="8"/>
  <c r="L277" i="8"/>
  <c r="P276" i="8"/>
  <c r="N276" i="8"/>
  <c r="L276" i="8"/>
  <c r="Z3" i="3" a="1"/>
  <c r="Z3" i="3" s="1"/>
  <c r="H66" i="3"/>
  <c r="I83" i="4"/>
  <c r="I92" i="2"/>
  <c r="J171" i="7"/>
  <c r="J173" i="7"/>
  <c r="J175" i="7"/>
  <c r="J177" i="7"/>
  <c r="AF47" i="1"/>
  <c r="H25" i="3"/>
  <c r="H24" i="3"/>
  <c r="H23" i="3"/>
  <c r="H18" i="3"/>
  <c r="H17" i="3"/>
  <c r="H16" i="3"/>
  <c r="H65" i="3"/>
  <c r="I82" i="4"/>
  <c r="I91" i="2"/>
  <c r="P272" i="8"/>
  <c r="P271" i="8"/>
  <c r="N274" i="8"/>
  <c r="N273" i="8"/>
  <c r="N272" i="8"/>
  <c r="N271" i="8"/>
  <c r="L274" i="8"/>
  <c r="L273" i="8"/>
  <c r="L272" i="8"/>
  <c r="L271" i="8"/>
  <c r="AF46" i="1"/>
  <c r="I81" i="4"/>
  <c r="I90" i="2"/>
  <c r="J169" i="7"/>
  <c r="P266" i="8"/>
  <c r="P265" i="8"/>
  <c r="N268" i="8"/>
  <c r="N267" i="8"/>
  <c r="N266" i="8"/>
  <c r="N265" i="8"/>
  <c r="L268" i="8"/>
  <c r="L267" i="8"/>
  <c r="L266" i="8"/>
  <c r="L265" i="8"/>
  <c r="I89" i="2"/>
  <c r="I80" i="4"/>
  <c r="H64" i="3"/>
  <c r="J163" i="7"/>
  <c r="J165" i="7"/>
  <c r="J167" i="7"/>
  <c r="AN13" i="6"/>
  <c r="AF45" i="1"/>
  <c r="AF44" i="1"/>
  <c r="X44" i="1"/>
  <c r="X45" i="1"/>
  <c r="X46" i="1"/>
  <c r="X47" i="1"/>
  <c r="X48" i="1"/>
  <c r="X49" i="1"/>
  <c r="X50" i="1"/>
  <c r="N255" i="8"/>
  <c r="L255" i="8"/>
  <c r="N254" i="8"/>
  <c r="L254" i="8"/>
  <c r="P253" i="8"/>
  <c r="N253" i="8"/>
  <c r="L253" i="8"/>
  <c r="P252" i="8"/>
  <c r="N252" i="8"/>
  <c r="L252" i="8"/>
  <c r="H63" i="3"/>
  <c r="I33" i="4"/>
  <c r="I32" i="4"/>
  <c r="I31" i="4"/>
  <c r="I27" i="4"/>
  <c r="I26" i="4"/>
  <c r="I25" i="4"/>
  <c r="I79" i="4"/>
  <c r="AD3" i="2" a="1"/>
  <c r="AD3" i="2" s="1"/>
  <c r="I37" i="2"/>
  <c r="I36" i="2"/>
  <c r="I35" i="2"/>
  <c r="I30" i="2"/>
  <c r="I29" i="2"/>
  <c r="I28" i="2"/>
  <c r="I88" i="2"/>
  <c r="L242" i="8"/>
  <c r="N245" i="8"/>
  <c r="L245" i="8"/>
  <c r="N244" i="8"/>
  <c r="L244" i="8"/>
  <c r="P243" i="8"/>
  <c r="N243" i="8"/>
  <c r="L243" i="8"/>
  <c r="P242" i="8"/>
  <c r="N242" i="8"/>
  <c r="H62" i="3" l="1"/>
  <c r="I78" i="4"/>
  <c r="I87" i="2"/>
  <c r="AF43" i="1"/>
  <c r="J161" i="7"/>
  <c r="R239" i="8"/>
  <c r="P240" i="8"/>
  <c r="P239" i="8"/>
  <c r="T240" i="8"/>
  <c r="T239" i="8"/>
  <c r="N240" i="8"/>
  <c r="N239" i="8"/>
  <c r="R240" i="8"/>
  <c r="L240" i="8"/>
  <c r="L239" i="8"/>
  <c r="J153" i="7"/>
  <c r="J155" i="7"/>
  <c r="J157" i="7"/>
  <c r="J159" i="7"/>
  <c r="H61" i="3"/>
  <c r="I86" i="2"/>
  <c r="I77" i="4"/>
  <c r="AF42" i="1" l="1"/>
  <c r="P230" i="8"/>
  <c r="N232" i="8"/>
  <c r="L232" i="8"/>
  <c r="N231" i="8"/>
  <c r="L231" i="8"/>
  <c r="N230" i="8"/>
  <c r="L230" i="8"/>
  <c r="P229" i="8"/>
  <c r="N229" i="8"/>
  <c r="L229" i="8"/>
  <c r="AF41" i="1"/>
  <c r="I85" i="2"/>
  <c r="I76" i="4"/>
  <c r="H60" i="3"/>
  <c r="N224" i="8"/>
  <c r="L224" i="8"/>
  <c r="N223" i="8"/>
  <c r="L223" i="8"/>
  <c r="P222" i="8"/>
  <c r="N222" i="8"/>
  <c r="L222" i="8"/>
  <c r="P221" i="8"/>
  <c r="N221" i="8"/>
  <c r="L221" i="8"/>
  <c r="J151" i="7"/>
  <c r="H59" i="3"/>
  <c r="I75" i="4"/>
  <c r="I84" i="2"/>
  <c r="AF40" i="1"/>
  <c r="J147" i="7"/>
  <c r="J149" i="7"/>
  <c r="N211" i="8"/>
  <c r="L211" i="8"/>
  <c r="N210" i="8"/>
  <c r="L210" i="8"/>
  <c r="P209" i="8"/>
  <c r="N209" i="8"/>
  <c r="L209" i="8"/>
  <c r="P208" i="8"/>
  <c r="N208" i="8"/>
  <c r="L208" i="8"/>
  <c r="H58" i="3"/>
  <c r="I74" i="4"/>
  <c r="I83" i="2"/>
  <c r="J141" i="7"/>
  <c r="J143" i="7"/>
  <c r="J145" i="7"/>
  <c r="L193" i="8"/>
  <c r="N196" i="8"/>
  <c r="L196" i="8"/>
  <c r="N195" i="8"/>
  <c r="L195" i="8"/>
  <c r="P194" i="8"/>
  <c r="N194" i="8"/>
  <c r="L194" i="8"/>
  <c r="P193" i="8"/>
  <c r="N193" i="8"/>
  <c r="AF39" i="1"/>
  <c r="X39" i="1"/>
  <c r="X40" i="1"/>
  <c r="X41" i="1"/>
  <c r="X42" i="1"/>
  <c r="X43" i="1"/>
  <c r="X38" i="1"/>
  <c r="P38" i="1"/>
  <c r="AF38" i="1"/>
  <c r="I73" i="4"/>
  <c r="L186" i="8"/>
  <c r="N189" i="8"/>
  <c r="L189" i="8"/>
  <c r="N188" i="8"/>
  <c r="L188" i="8"/>
  <c r="P187" i="8"/>
  <c r="N187" i="8"/>
  <c r="L187" i="8"/>
  <c r="P186" i="8"/>
  <c r="N186" i="8"/>
  <c r="I82" i="2"/>
  <c r="J137" i="7"/>
  <c r="J139" i="7"/>
  <c r="J133" i="7"/>
  <c r="J135" i="7"/>
  <c r="H57" i="3"/>
  <c r="I72" i="4"/>
  <c r="I81" i="2"/>
  <c r="N179" i="8"/>
  <c r="L179" i="8"/>
  <c r="N178" i="8"/>
  <c r="L178" i="8"/>
  <c r="P177" i="8"/>
  <c r="N177" i="8"/>
  <c r="L177" i="8"/>
  <c r="P176" i="8"/>
  <c r="N176" i="8"/>
  <c r="L176" i="8"/>
  <c r="J125" i="7"/>
  <c r="J127" i="7"/>
  <c r="J129" i="7"/>
  <c r="J131" i="7"/>
  <c r="H56" i="3"/>
  <c r="I71" i="4"/>
  <c r="I80" i="2"/>
  <c r="AQ2" i="6"/>
  <c r="AN2" i="6"/>
  <c r="AQ14" i="6"/>
  <c r="J119" i="7"/>
  <c r="J121" i="7"/>
  <c r="J123" i="7"/>
  <c r="N170" i="8"/>
  <c r="L170" i="8"/>
  <c r="N169" i="8"/>
  <c r="L169" i="8"/>
  <c r="P168" i="8"/>
  <c r="N168" i="8"/>
  <c r="L168" i="8"/>
  <c r="P167" i="8"/>
  <c r="N167" i="8"/>
  <c r="L167" i="8"/>
  <c r="I79" i="2"/>
  <c r="I70" i="4"/>
  <c r="H55" i="3"/>
  <c r="AQ18" i="6"/>
  <c r="AQ17" i="6"/>
  <c r="AQ16" i="6"/>
  <c r="AQ15" i="6"/>
  <c r="J115" i="7"/>
  <c r="J117" i="7"/>
  <c r="L160" i="8"/>
  <c r="N163" i="8"/>
  <c r="L163" i="8"/>
  <c r="N162" i="8"/>
  <c r="L162" i="8"/>
  <c r="P161" i="8"/>
  <c r="N161" i="8"/>
  <c r="L161" i="8"/>
  <c r="P160" i="8"/>
  <c r="N160" i="8"/>
  <c r="P154" i="8" l="1"/>
  <c r="P153" i="8"/>
  <c r="N156" i="8"/>
  <c r="N155" i="8"/>
  <c r="N154" i="8"/>
  <c r="N153" i="8"/>
  <c r="L156" i="8"/>
  <c r="L155" i="8"/>
  <c r="L154" i="8"/>
  <c r="L153" i="8"/>
  <c r="J113" i="7"/>
  <c r="H54" i="3"/>
  <c r="I69" i="4"/>
  <c r="I78" i="2"/>
  <c r="T16" i="8" l="1"/>
  <c r="H53" i="3"/>
  <c r="H26" i="3"/>
  <c r="I68" i="4"/>
  <c r="I77" i="2"/>
  <c r="J111" i="7"/>
  <c r="P136" i="8"/>
  <c r="P135" i="8"/>
  <c r="N138" i="8"/>
  <c r="N137" i="8"/>
  <c r="N136" i="8"/>
  <c r="N135" i="8"/>
  <c r="L138" i="8"/>
  <c r="L137" i="8"/>
  <c r="L136" i="8"/>
  <c r="L135" i="8"/>
  <c r="J109" i="7"/>
  <c r="P22" i="1"/>
  <c r="J107" i="7"/>
  <c r="J105" i="7"/>
  <c r="H52" i="3"/>
  <c r="I67" i="4"/>
  <c r="I76" i="2"/>
  <c r="J103" i="7"/>
  <c r="P128" i="8"/>
  <c r="P127" i="8"/>
  <c r="N130" i="8"/>
  <c r="N129" i="8"/>
  <c r="N128" i="8"/>
  <c r="N127" i="8"/>
  <c r="L130" i="8"/>
  <c r="L129" i="8"/>
  <c r="L128" i="8"/>
  <c r="L127" i="8"/>
  <c r="J101" i="7" l="1"/>
  <c r="H51" i="3"/>
  <c r="I66" i="4"/>
  <c r="I75" i="2"/>
  <c r="L114" i="8"/>
  <c r="L113" i="8"/>
  <c r="L112" i="8"/>
  <c r="P113" i="8"/>
  <c r="P112" i="8"/>
  <c r="N115" i="8"/>
  <c r="N114" i="8"/>
  <c r="N113" i="8"/>
  <c r="N112" i="8"/>
  <c r="L115" i="8"/>
  <c r="H50" i="3"/>
  <c r="H48" i="3"/>
  <c r="X30" i="1"/>
  <c r="AF37" i="1"/>
  <c r="X37" i="1"/>
  <c r="P37" i="1"/>
  <c r="AF36" i="1"/>
  <c r="X36" i="1"/>
  <c r="P36" i="1"/>
  <c r="AF35" i="1"/>
  <c r="X35" i="1"/>
  <c r="P35" i="1"/>
  <c r="AF34" i="1"/>
  <c r="X34" i="1"/>
  <c r="P34" i="1"/>
  <c r="AF33" i="1"/>
  <c r="X33" i="1"/>
  <c r="P33" i="1"/>
  <c r="J95" i="7"/>
  <c r="J97" i="7"/>
  <c r="J99" i="7"/>
  <c r="AN3" i="6"/>
  <c r="AQ7" i="6"/>
  <c r="AQ6" i="6"/>
  <c r="AQ5" i="6"/>
  <c r="AQ4" i="6"/>
  <c r="AQ3" i="6"/>
  <c r="I65" i="4" l="1"/>
  <c r="I74" i="2"/>
  <c r="X32" i="1"/>
  <c r="P32" i="1"/>
  <c r="AF32" i="1"/>
  <c r="P99" i="8" l="1"/>
  <c r="P98" i="8"/>
  <c r="N101" i="8"/>
  <c r="N100" i="8"/>
  <c r="N99" i="8"/>
  <c r="N98" i="8"/>
  <c r="L101" i="8"/>
  <c r="L100" i="8"/>
  <c r="L99" i="8"/>
  <c r="L98" i="8"/>
  <c r="P83" i="8"/>
  <c r="P82" i="8"/>
  <c r="N85" i="8"/>
  <c r="N84" i="8"/>
  <c r="N83" i="8"/>
  <c r="N82" i="8"/>
  <c r="L85" i="8"/>
  <c r="L84" i="8"/>
  <c r="L83" i="8"/>
  <c r="L82" i="8"/>
  <c r="P73" i="8"/>
  <c r="P64" i="8"/>
  <c r="P51" i="8"/>
  <c r="P36" i="8"/>
  <c r="P24" i="8"/>
  <c r="P9" i="8"/>
  <c r="P3" i="8"/>
  <c r="P72" i="8"/>
  <c r="N75" i="8"/>
  <c r="N74" i="8"/>
  <c r="N73" i="8"/>
  <c r="N72" i="8"/>
  <c r="L75" i="8"/>
  <c r="L74" i="8"/>
  <c r="L73" i="8"/>
  <c r="L72" i="8"/>
  <c r="P63" i="8"/>
  <c r="N66" i="8"/>
  <c r="N65" i="8"/>
  <c r="N64" i="8"/>
  <c r="N63" i="8"/>
  <c r="L66" i="8"/>
  <c r="L65" i="8"/>
  <c r="L64" i="8"/>
  <c r="L63" i="8"/>
  <c r="P50" i="8"/>
  <c r="N53" i="8"/>
  <c r="N52" i="8"/>
  <c r="N51" i="8"/>
  <c r="N50" i="8"/>
  <c r="L53" i="8"/>
  <c r="L52" i="8"/>
  <c r="L51" i="8"/>
  <c r="L50" i="8"/>
  <c r="N2" i="8"/>
  <c r="L5" i="8"/>
  <c r="L4" i="8"/>
  <c r="L3" i="8"/>
  <c r="L2" i="8"/>
  <c r="P2" i="8"/>
  <c r="N5" i="8"/>
  <c r="N4" i="8"/>
  <c r="N3" i="8"/>
  <c r="P35" i="8"/>
  <c r="L36" i="8"/>
  <c r="L35" i="8"/>
  <c r="P23" i="8"/>
  <c r="N26" i="8"/>
  <c r="N25" i="8"/>
  <c r="N24" i="8"/>
  <c r="N23" i="8"/>
  <c r="L26" i="8"/>
  <c r="L25" i="8"/>
  <c r="L24" i="8"/>
  <c r="L23" i="8"/>
  <c r="N38" i="8"/>
  <c r="L38" i="8"/>
  <c r="N37" i="8"/>
  <c r="L37" i="8"/>
  <c r="N36" i="8"/>
  <c r="N35" i="8"/>
  <c r="P8" i="8"/>
  <c r="N11" i="8"/>
  <c r="N10" i="8"/>
  <c r="N9" i="8"/>
  <c r="N8" i="8"/>
  <c r="L11" i="8"/>
  <c r="L10" i="8"/>
  <c r="L9" i="8"/>
  <c r="L8" i="8"/>
  <c r="J85" i="7"/>
  <c r="J87" i="7"/>
  <c r="J89" i="7"/>
  <c r="J91" i="7"/>
  <c r="J93" i="7"/>
  <c r="I64" i="4"/>
  <c r="I73" i="2"/>
  <c r="H49" i="3"/>
  <c r="J79" i="7"/>
  <c r="J81" i="7"/>
  <c r="J83" i="7"/>
  <c r="I63" i="4"/>
  <c r="I72" i="2"/>
  <c r="H47" i="3" l="1"/>
  <c r="H46" i="3"/>
  <c r="H45" i="3"/>
  <c r="H44" i="3"/>
  <c r="H43" i="3"/>
  <c r="H42" i="3"/>
  <c r="H41" i="3"/>
  <c r="H40" i="3"/>
  <c r="H39" i="3"/>
  <c r="H38" i="3"/>
  <c r="H37" i="3"/>
  <c r="H36" i="3"/>
  <c r="H22" i="3"/>
  <c r="I62" i="4"/>
  <c r="I30" i="4"/>
  <c r="I34" i="4"/>
  <c r="I61" i="4"/>
  <c r="I60" i="4"/>
  <c r="I59" i="4"/>
  <c r="I58" i="4"/>
  <c r="I57" i="4"/>
  <c r="I56" i="4"/>
  <c r="I55" i="4"/>
  <c r="I54" i="4"/>
  <c r="I53" i="4"/>
  <c r="I52" i="4"/>
  <c r="I51" i="4"/>
  <c r="I50" i="4"/>
  <c r="I49" i="4"/>
  <c r="I48" i="4"/>
  <c r="I47" i="4"/>
  <c r="I46" i="4"/>
  <c r="I45" i="4"/>
  <c r="I44" i="4"/>
  <c r="I34" i="2"/>
  <c r="I38" i="2"/>
  <c r="I71" i="2"/>
  <c r="I70" i="2"/>
  <c r="I69" i="2"/>
  <c r="I68" i="2"/>
  <c r="I67" i="2"/>
  <c r="I66" i="2"/>
  <c r="I65" i="2"/>
  <c r="I64" i="2"/>
  <c r="I63" i="2"/>
  <c r="I62" i="2"/>
  <c r="I61" i="2"/>
  <c r="I60" i="2"/>
  <c r="I59" i="2"/>
  <c r="I58" i="2"/>
  <c r="I57" i="2"/>
  <c r="I56" i="2"/>
  <c r="I55" i="2"/>
  <c r="I54" i="2"/>
  <c r="I53" i="2"/>
  <c r="I52" i="2"/>
  <c r="I51" i="2"/>
  <c r="I50" i="2"/>
  <c r="I49" i="2"/>
  <c r="I48" i="2"/>
  <c r="J73" i="7"/>
  <c r="J75" i="7"/>
  <c r="J77" i="7"/>
  <c r="P26" i="1" l="1"/>
  <c r="X26" i="1"/>
  <c r="AF26" i="1"/>
  <c r="P27" i="1"/>
  <c r="X27" i="1"/>
  <c r="AF27" i="1"/>
  <c r="P28" i="1"/>
  <c r="X28" i="1"/>
  <c r="AF28" i="1"/>
  <c r="P29" i="1"/>
  <c r="X29" i="1"/>
  <c r="AF29" i="1"/>
  <c r="P30" i="1"/>
  <c r="AF30" i="1"/>
  <c r="P31" i="1"/>
  <c r="X31" i="1"/>
  <c r="AF31" i="1"/>
  <c r="AT2" i="6"/>
  <c r="J69" i="7"/>
  <c r="J71" i="7"/>
  <c r="U5" i="8" l="1"/>
  <c r="U13" i="8"/>
  <c r="U14" i="8"/>
  <c r="U12" i="8"/>
  <c r="U6" i="8"/>
  <c r="U7" i="8"/>
  <c r="U8" i="8"/>
  <c r="U9" i="8"/>
  <c r="U10" i="8"/>
  <c r="U11" i="8"/>
  <c r="Z12" i="3"/>
  <c r="AA3" i="3" s="1"/>
  <c r="AD11" i="4"/>
  <c r="AE2" i="4" s="1"/>
  <c r="AD12" i="2"/>
  <c r="AE3" i="2" s="1"/>
  <c r="U16" i="8" l="1"/>
  <c r="AE7" i="2"/>
  <c r="AE6" i="2"/>
  <c r="AE8" i="2"/>
  <c r="AE10" i="2"/>
  <c r="AE9" i="2"/>
  <c r="AE4" i="2"/>
  <c r="AE5" i="2"/>
  <c r="AE8" i="4"/>
  <c r="AE7" i="4"/>
  <c r="AE9" i="4"/>
  <c r="AE3" i="4"/>
  <c r="AE5" i="4"/>
  <c r="AE6" i="4"/>
  <c r="AE4" i="4"/>
  <c r="AA10" i="3"/>
  <c r="AA6" i="3"/>
  <c r="AA4" i="3"/>
  <c r="AA5" i="3"/>
  <c r="AA7" i="3"/>
  <c r="AA8" i="3"/>
  <c r="AA9" i="3"/>
  <c r="AE12" i="2" l="1"/>
  <c r="AE11" i="4"/>
  <c r="AA12" i="3"/>
  <c r="X25" i="1" l="1"/>
  <c r="P25" i="1"/>
  <c r="AF25" i="1"/>
  <c r="J55" i="7"/>
  <c r="J57" i="7"/>
  <c r="J59" i="7"/>
  <c r="J61" i="7"/>
  <c r="J63" i="7"/>
  <c r="J65" i="7"/>
  <c r="J67" i="7"/>
  <c r="Q69" i="6"/>
  <c r="AF24" i="1"/>
  <c r="X24" i="1"/>
  <c r="P24" i="1"/>
  <c r="X23" i="1"/>
  <c r="AF23" i="1"/>
  <c r="P23" i="1"/>
  <c r="J53" i="7"/>
  <c r="J51" i="7"/>
  <c r="J49" i="7"/>
  <c r="J47" i="7"/>
  <c r="AF22" i="1"/>
  <c r="X22" i="1"/>
  <c r="P21" i="1"/>
  <c r="P5" i="1"/>
  <c r="P6" i="1"/>
  <c r="P7" i="1"/>
  <c r="P8" i="1"/>
  <c r="P9" i="1"/>
  <c r="P10" i="1"/>
  <c r="P11" i="1"/>
  <c r="P12" i="1"/>
  <c r="P13" i="1"/>
  <c r="P14" i="1"/>
  <c r="P15" i="1"/>
  <c r="P16" i="1"/>
  <c r="P17" i="1"/>
  <c r="P18" i="1"/>
  <c r="P19" i="1"/>
  <c r="P20" i="1"/>
  <c r="P4" i="1"/>
  <c r="X5" i="1"/>
  <c r="X6" i="1"/>
  <c r="X7" i="1"/>
  <c r="X8" i="1"/>
  <c r="X9" i="1"/>
  <c r="X10" i="1"/>
  <c r="X11" i="1"/>
  <c r="X12" i="1"/>
  <c r="X13" i="1"/>
  <c r="X14" i="1"/>
  <c r="X15" i="1"/>
  <c r="X16" i="1"/>
  <c r="X17" i="1"/>
  <c r="X18" i="1"/>
  <c r="X19" i="1"/>
  <c r="X20" i="1"/>
  <c r="X21" i="1"/>
  <c r="X4" i="1"/>
  <c r="AF21" i="1"/>
  <c r="AF20" i="1"/>
  <c r="AF17" i="1"/>
  <c r="M69" i="6" l="1"/>
  <c r="K69" i="6"/>
  <c r="J31" i="7" l="1"/>
  <c r="J11" i="7"/>
  <c r="J13" i="7"/>
  <c r="J15" i="7"/>
  <c r="J17" i="7"/>
  <c r="J19" i="7"/>
  <c r="J21" i="7"/>
  <c r="J23" i="7"/>
  <c r="J25" i="7"/>
  <c r="J27" i="7"/>
  <c r="J29" i="7"/>
  <c r="J33" i="7"/>
  <c r="J35" i="7"/>
  <c r="J37" i="7"/>
  <c r="J39" i="7"/>
  <c r="J41" i="7"/>
  <c r="J43" i="7"/>
  <c r="J45" i="7"/>
  <c r="J9" i="7"/>
  <c r="J7" i="7"/>
  <c r="J6" i="7"/>
  <c r="J3" i="7"/>
  <c r="AF18" i="1"/>
  <c r="AF19" i="1"/>
  <c r="AF16" i="1"/>
  <c r="AF15" i="1"/>
  <c r="AF14" i="1" l="1"/>
  <c r="H29" i="3" l="1"/>
  <c r="I41" i="2"/>
  <c r="I37" i="4"/>
  <c r="AF12" i="1"/>
  <c r="AF13" i="1"/>
  <c r="AF11" i="1"/>
  <c r="AT14" i="6"/>
  <c r="AF5" i="1"/>
  <c r="AF6" i="1"/>
  <c r="AF7" i="1"/>
  <c r="AF8" i="1"/>
  <c r="AF9" i="1"/>
  <c r="AF10" i="1"/>
  <c r="AF4" i="1"/>
  <c r="O69" i="6" l="1"/>
  <c r="AT3" i="6"/>
  <c r="I42" i="2"/>
  <c r="AT18" i="6"/>
  <c r="AT17" i="6"/>
  <c r="AT16" i="6"/>
  <c r="AT15" i="6"/>
  <c r="AT6" i="6"/>
  <c r="AT5" i="6"/>
  <c r="AT4" i="6"/>
  <c r="H33" i="3"/>
  <c r="H32" i="3"/>
  <c r="H31" i="3"/>
  <c r="H30" i="3"/>
  <c r="I41" i="4"/>
  <c r="I40" i="4"/>
  <c r="I39" i="4"/>
  <c r="I38" i="4"/>
  <c r="I45" i="2"/>
  <c r="I44" i="2"/>
  <c r="I4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<sst xmlns="http://schemas.openxmlformats.org/spreadsheetml/2006/main" count="6138" uniqueCount="660">
  <si>
    <t>Echantillons</t>
  </si>
  <si>
    <t>Produit</t>
  </si>
  <si>
    <t>pureté HCL</t>
  </si>
  <si>
    <t>pureté Base</t>
  </si>
  <si>
    <t>Date</t>
  </si>
  <si>
    <t>cocaïne base</t>
  </si>
  <si>
    <t>Héroïne base</t>
  </si>
  <si>
    <t>Cocaïne HCL</t>
  </si>
  <si>
    <t>moyenne pureté HCL</t>
  </si>
  <si>
    <t>max</t>
  </si>
  <si>
    <t>min</t>
  </si>
  <si>
    <t>moyenne pureté base</t>
  </si>
  <si>
    <t>pureté HCl</t>
  </si>
  <si>
    <t>quantité</t>
  </si>
  <si>
    <t>Coupage</t>
  </si>
  <si>
    <t>Caféine, paracétamol</t>
  </si>
  <si>
    <t>Commentaire</t>
  </si>
  <si>
    <t>Consommé avec 46 en speedball</t>
  </si>
  <si>
    <t>Lactose</t>
  </si>
  <si>
    <t>13 qui a été basé</t>
  </si>
  <si>
    <t>14 qui a été basé</t>
  </si>
  <si>
    <t>Cocaïne base</t>
  </si>
  <si>
    <t>Héroïne (base)</t>
  </si>
  <si>
    <t>Cocaïne (sel)</t>
  </si>
  <si>
    <t>Cocaïne (base)</t>
  </si>
  <si>
    <t>nb échantillons</t>
  </si>
  <si>
    <t>Pureté croissante</t>
  </si>
  <si>
    <t>Min</t>
  </si>
  <si>
    <t>1 quart</t>
  </si>
  <si>
    <t>Médiane</t>
  </si>
  <si>
    <t>3 quart</t>
  </si>
  <si>
    <t>Cocaine sel</t>
  </si>
  <si>
    <t>Cocaine base</t>
  </si>
  <si>
    <t>1-min</t>
  </si>
  <si>
    <t>méd-1</t>
  </si>
  <si>
    <t>3-méd</t>
  </si>
  <si>
    <t>max-3</t>
  </si>
  <si>
    <t>Sucrose</t>
  </si>
  <si>
    <t>Caféine</t>
  </si>
  <si>
    <t>30 qui a été basé</t>
  </si>
  <si>
    <t>Check</t>
  </si>
  <si>
    <t>10 qui a été basé</t>
  </si>
  <si>
    <t>Drug Checking ABS</t>
  </si>
  <si>
    <t>Total</t>
  </si>
  <si>
    <t>Coupé</t>
  </si>
  <si>
    <t>%</t>
  </si>
  <si>
    <t>Pour héroïne regarder feuille hero parce qu'identique</t>
  </si>
  <si>
    <t>Paracétamol, caféine</t>
  </si>
  <si>
    <t>81 qui a été basé</t>
  </si>
  <si>
    <t>(pas boulette entière)</t>
  </si>
  <si>
    <t>88 qui a été basé</t>
  </si>
  <si>
    <t>paracétamol</t>
  </si>
  <si>
    <t>Autre</t>
  </si>
  <si>
    <t>amené pour nous tester</t>
  </si>
  <si>
    <t>(pas une boulette entière)</t>
  </si>
  <si>
    <t>pas pesé</t>
  </si>
  <si>
    <t>Partie d'un achat de 0.5 grammes</t>
  </si>
  <si>
    <t>lactose</t>
  </si>
  <si>
    <t>sucrose</t>
  </si>
  <si>
    <t>10.-</t>
  </si>
  <si>
    <t>Amphétamine très humide</t>
  </si>
  <si>
    <t>Inconnu</t>
  </si>
  <si>
    <t>-</t>
  </si>
  <si>
    <t>106 qui a été basé</t>
  </si>
  <si>
    <t>119 qui a été basé</t>
  </si>
  <si>
    <t>boulette de 0,1</t>
  </si>
  <si>
    <t>2 boulettes de 0,15 ensemble</t>
  </si>
  <si>
    <t>144 qui a été basé</t>
  </si>
  <si>
    <t>50 qui a été basé</t>
  </si>
  <si>
    <t>56 qui a été basé</t>
  </si>
  <si>
    <t>59 qui a été basé</t>
  </si>
  <si>
    <t>65 qui a été basé</t>
  </si>
  <si>
    <t>71 qui a été basé; laissé pour améliorer le modèle</t>
  </si>
  <si>
    <t>75 qui a été basé</t>
  </si>
  <si>
    <t>79 qui a été basé</t>
  </si>
  <si>
    <t>92 qui a été basé</t>
  </si>
  <si>
    <t>109 basé</t>
  </si>
  <si>
    <t xml:space="preserve"> 115 basé</t>
  </si>
  <si>
    <t>126 basée</t>
  </si>
  <si>
    <t>124 basé</t>
  </si>
  <si>
    <t>128 basée</t>
  </si>
  <si>
    <t>138 basée -0.09gr</t>
  </si>
  <si>
    <t>Premièrement, il est possible d’observer que dans quatre cas, une valeur de différence négative a été obtenue. Ceci s’explique par la marge d’erreur de l’appareil et par la force moindre du modèle crack du NIR. En effet, dans trois cas sur quatre la différence est inférieure à 3, ce qui indique que vraisemblablement la pureté n’a pas ou très peu changé entre avant et après basification et que la différence dérive uniquement de l’erreur analytique lié à l’appareil. Pour le quatrième cas, il s’agissait d’une cocaïne hydrochlorée extrêmement pure (98,1%) qui a ensuite été basifiée. La valeur de la pureté du crack dans ce cas a probablement été sous-estimée en raison d’un nombre très limité d’échantillons de cocaïne base très purs présents dans la base de données NIRLab. Un nombre limité d’échantillons similaires dans la base de données rend plus difficile à l’appareil de pouvoir donner un résultat précis.</t>
  </si>
  <si>
    <t>150 basé</t>
  </si>
  <si>
    <t>149 basé</t>
  </si>
  <si>
    <t>Coke HCL</t>
  </si>
  <si>
    <t>Crack</t>
  </si>
  <si>
    <t>Héro</t>
  </si>
  <si>
    <t>Autres</t>
  </si>
  <si>
    <t>Héro sans entretien</t>
  </si>
  <si>
    <t>Prix (CHF)</t>
  </si>
  <si>
    <t>boulette plus grande déjà ouverte donc pas pésée</t>
  </si>
  <si>
    <t>Consommée avec effets bizarres</t>
  </si>
  <si>
    <t>héro sans entretien</t>
  </si>
  <si>
    <t>Demi-boulette déjà consommée</t>
  </si>
  <si>
    <t>164 basé</t>
  </si>
  <si>
    <t xml:space="preserve">Héroïne base </t>
  </si>
  <si>
    <t>Cocaïne sel</t>
  </si>
  <si>
    <t>Héroïne</t>
  </si>
  <si>
    <t>L'antenne</t>
  </si>
  <si>
    <t>Dame 172 qui est revenue (autre dealer)</t>
  </si>
  <si>
    <t>Pas voulu la sortir du papier donc pas pesé, achète pour vendre l'héro</t>
  </si>
  <si>
    <t>157 basé</t>
  </si>
  <si>
    <t>Ainsi, une valeur positive indique une pureté plus élevée après basification qu'avant, alors qu'une valeur négative indique l'inverse</t>
  </si>
  <si>
    <t>Moitié de la boulette</t>
  </si>
  <si>
    <t>177 basé</t>
  </si>
  <si>
    <t>178 basé</t>
  </si>
  <si>
    <t>Gratuite en échange de la pub après le test</t>
  </si>
  <si>
    <t>3 boulettes ensemble</t>
  </si>
  <si>
    <t>185 basé, pas volu peser</t>
  </si>
  <si>
    <t>Pesé avec minigrip</t>
  </si>
  <si>
    <t>188 basé</t>
  </si>
  <si>
    <t>192 basé</t>
  </si>
  <si>
    <t>Crédit</t>
  </si>
  <si>
    <t>Cuisiné par elle avant</t>
  </si>
  <si>
    <t>202 basé + 1 autre boulette</t>
  </si>
  <si>
    <t>204 basé</t>
  </si>
  <si>
    <t>Laissé pour analyse</t>
  </si>
  <si>
    <t>137 basée -0.09gr</t>
  </si>
  <si>
    <t>Censé être 1g</t>
  </si>
  <si>
    <t>Censé être 0,5g</t>
  </si>
  <si>
    <t>Pas même que 209, autre source</t>
  </si>
  <si>
    <t>Déjà commencée</t>
  </si>
  <si>
    <t>220 basé</t>
  </si>
  <si>
    <t>223 basé</t>
  </si>
  <si>
    <t>Deux boulettes de 10.- chacune</t>
  </si>
  <si>
    <t>Label</t>
  </si>
  <si>
    <t>Bin</t>
  </si>
  <si>
    <t>Frequence</t>
  </si>
  <si>
    <t>&lt;30</t>
  </si>
  <si>
    <t>30-40</t>
  </si>
  <si>
    <t>40-50</t>
  </si>
  <si>
    <t>50-60</t>
  </si>
  <si>
    <t>60-70</t>
  </si>
  <si>
    <t>70-80</t>
  </si>
  <si>
    <t>80-90</t>
  </si>
  <si>
    <t>&gt;90</t>
  </si>
  <si>
    <t>0-10</t>
  </si>
  <si>
    <t>10-20</t>
  </si>
  <si>
    <t>20-30</t>
  </si>
  <si>
    <t>&gt;60</t>
  </si>
  <si>
    <t>&gt;100</t>
  </si>
  <si>
    <t>Moyenne</t>
  </si>
  <si>
    <t>Gros caillou acheté directement à lausanne, 100.- le gramme</t>
  </si>
  <si>
    <t xml:space="preserve">Vendue à 10-20.- </t>
  </si>
  <si>
    <t>3 pour 50.-</t>
  </si>
  <si>
    <t>a voulu donner du produit pour analyser (#1), 3 pour 40.-</t>
  </si>
  <si>
    <t>3 pour 40.-</t>
  </si>
  <si>
    <t>22 pour 2 parachutes</t>
  </si>
  <si>
    <t>3 pour 25.-</t>
  </si>
  <si>
    <t>75.- pour 10 boulettes</t>
  </si>
  <si>
    <t>Résine THC</t>
  </si>
  <si>
    <t>Cannabis THC</t>
  </si>
  <si>
    <t>4 le gramme</t>
  </si>
  <si>
    <t>3 le gramme</t>
  </si>
  <si>
    <t>Inconnu (proche héro)</t>
  </si>
  <si>
    <t>Cannabis CBD</t>
  </si>
  <si>
    <t>Attendu être du THC</t>
  </si>
  <si>
    <t>3 pour 27</t>
  </si>
  <si>
    <t>Boulette entammée</t>
  </si>
  <si>
    <t>3 pour 25</t>
  </si>
  <si>
    <t>2 boulettes mélangées</t>
  </si>
  <si>
    <t>Amphétamine consommée en sniff</t>
  </si>
  <si>
    <t>paracétamol pour tester</t>
  </si>
  <si>
    <t>cannabis/résine</t>
  </si>
  <si>
    <t>252 basé</t>
  </si>
  <si>
    <t>255  basé</t>
  </si>
  <si>
    <t>257 basé</t>
  </si>
  <si>
    <t>255 basé</t>
  </si>
  <si>
    <t>Autres (enlevés du total)</t>
  </si>
  <si>
    <t>20 grammes pour 30.-</t>
  </si>
  <si>
    <t>266 basé</t>
  </si>
  <si>
    <t>275 basé</t>
  </si>
  <si>
    <t>268 basé</t>
  </si>
  <si>
    <t>Sexe</t>
  </si>
  <si>
    <t>Age</t>
  </si>
  <si>
    <t>Fois</t>
  </si>
  <si>
    <t>D = déjà venu</t>
  </si>
  <si>
    <t>P = première fois</t>
  </si>
  <si>
    <t>Nb échantillons</t>
  </si>
  <si>
    <t>seulement une partie du minigrip</t>
  </si>
  <si>
    <t xml:space="preserve">278 qui a été filtré (donc héro </t>
  </si>
  <si>
    <t>reste d'une boulette</t>
  </si>
  <si>
    <t>282 basé (déjà avant)</t>
  </si>
  <si>
    <t>Acheté comme cocaïne</t>
  </si>
  <si>
    <t>Proche produit de coupe coca</t>
  </si>
  <si>
    <t>286 basé</t>
  </si>
  <si>
    <t>293 basé</t>
  </si>
  <si>
    <t>297 basé</t>
  </si>
  <si>
    <t>produit coupage cocaïne</t>
  </si>
  <si>
    <t>290 basé</t>
  </si>
  <si>
    <t>Coke</t>
  </si>
  <si>
    <t>P</t>
  </si>
  <si>
    <t>H</t>
  </si>
  <si>
    <t>D</t>
  </si>
  <si>
    <t>F</t>
  </si>
  <si>
    <t>Avec 7</t>
  </si>
  <si>
    <t>Avec 9</t>
  </si>
  <si>
    <t>Avec 11</t>
  </si>
  <si>
    <t>Avec 18</t>
  </si>
  <si>
    <t>Labo confirme héroïne</t>
  </si>
  <si>
    <t>Avec 57</t>
  </si>
  <si>
    <t>4 autres pas noté données</t>
  </si>
  <si>
    <t>Avec 66</t>
  </si>
  <si>
    <t>Moyenne âge</t>
  </si>
  <si>
    <t>18-25</t>
  </si>
  <si>
    <t>25-30</t>
  </si>
  <si>
    <t>30-35</t>
  </si>
  <si>
    <t>35-40</t>
  </si>
  <si>
    <t>≤18</t>
  </si>
  <si>
    <t>303 basé</t>
  </si>
  <si>
    <t>Déjà cuisinée avec</t>
  </si>
  <si>
    <t>150.- le grip ici, 100.- à Genève</t>
  </si>
  <si>
    <t>Même couleur que les deux autres de la soirée</t>
  </si>
  <si>
    <t>Gratuit</t>
  </si>
  <si>
    <t>Avec 81</t>
  </si>
  <si>
    <t>Avec 98</t>
  </si>
  <si>
    <t>313 basé</t>
  </si>
  <si>
    <t>315 basé</t>
  </si>
  <si>
    <t>315 basé; pas assez pour être pésé</t>
  </si>
  <si>
    <t>Déjà commencée, 5 pou 40.-</t>
  </si>
  <si>
    <t>Prélevée; 150.- pour le grip; labo confirmé héro</t>
  </si>
  <si>
    <t>Prélevée; labo confirmé héro</t>
  </si>
  <si>
    <t>Kétamine</t>
  </si>
  <si>
    <t>8.-/g mais il vient de l'hollande, en Suisse il dit que c'est 50</t>
  </si>
  <si>
    <t>basé par lui-même avant</t>
  </si>
  <si>
    <t>100.- les 5 gr</t>
  </si>
  <si>
    <t>334 basé</t>
  </si>
  <si>
    <t>kétamines</t>
  </si>
  <si>
    <t>nb</t>
  </si>
  <si>
    <t>100.- le grip; laissé pour analyse; labo coonfirmé héro</t>
  </si>
  <si>
    <t>100€ le grip</t>
  </si>
  <si>
    <t>Restes d'une boulette</t>
  </si>
  <si>
    <t>35.- pour 3 boulettes</t>
  </si>
  <si>
    <t>349 basé; encore assez humide</t>
  </si>
  <si>
    <t>349 basé; humide</t>
  </si>
  <si>
    <t>Mélange de plusieurs cocaïnes; laissé pour labo (66% avec lactose)</t>
  </si>
  <si>
    <t xml:space="preserve">Trois petits paquets </t>
  </si>
  <si>
    <t>Total personnes</t>
  </si>
  <si>
    <t>150.- le grip à la base, lui a eu 50.- le demi grip</t>
  </si>
  <si>
    <t>Avec 138</t>
  </si>
  <si>
    <t>gratuit</t>
  </si>
  <si>
    <t>2 boulettes ensemble</t>
  </si>
  <si>
    <t>363 basé, encore un peu humide</t>
  </si>
  <si>
    <t>363 basé,  humide</t>
  </si>
  <si>
    <t>365 basé</t>
  </si>
  <si>
    <t>Première fois</t>
  </si>
  <si>
    <t>Hommes</t>
  </si>
  <si>
    <t>Femmes</t>
  </si>
  <si>
    <t>Entretiens</t>
  </si>
  <si>
    <t>370 basé</t>
  </si>
  <si>
    <t>Il ne paye pas</t>
  </si>
  <si>
    <t>372 basé</t>
  </si>
  <si>
    <t>Fois suivantes</t>
  </si>
  <si>
    <t>40-45</t>
  </si>
  <si>
    <t>45-50</t>
  </si>
  <si>
    <t>50-55</t>
  </si>
  <si>
    <t>55-60</t>
  </si>
  <si>
    <t>Grip de 5g pour 100.-</t>
  </si>
  <si>
    <t>Idem</t>
  </si>
  <si>
    <t>Héroïne déjà caramélisée</t>
  </si>
  <si>
    <t>381 basé</t>
  </si>
  <si>
    <t>Autre cocaïne basée précédemment</t>
  </si>
  <si>
    <t>2 pour 20.-</t>
  </si>
  <si>
    <t>Entretien</t>
  </si>
  <si>
    <t>M8SLNP</t>
  </si>
  <si>
    <t>57CXFZ</t>
  </si>
  <si>
    <t>3SA9GL</t>
  </si>
  <si>
    <t>LNGEKV</t>
  </si>
  <si>
    <t>UAP9AC</t>
  </si>
  <si>
    <t>Déjà consommé une partie, 15.- pour le pacson entier</t>
  </si>
  <si>
    <t>WTNABX</t>
  </si>
  <si>
    <t>Une héro déjà caramélisée</t>
  </si>
  <si>
    <t>Laissé pour analyse (72,6% lact et lév)</t>
  </si>
  <si>
    <t>Laissé pour analyse (57,7% sucr)</t>
  </si>
  <si>
    <t>Y4LUQT</t>
  </si>
  <si>
    <t>65 grammes pour 1000.-; laissé pour analyse</t>
  </si>
  <si>
    <t>7UXA4G</t>
  </si>
  <si>
    <t>Acheté comme THC; laissé pour analyse</t>
  </si>
  <si>
    <t>6MLVPX</t>
  </si>
  <si>
    <t>Pacson entammé</t>
  </si>
  <si>
    <t>396 basé, encore très humide</t>
  </si>
  <si>
    <t>KMKY5V</t>
  </si>
  <si>
    <t>Normalement à 40.-</t>
  </si>
  <si>
    <t>399 basé</t>
  </si>
  <si>
    <t>DS5QX9</t>
  </si>
  <si>
    <t>PE9CG4</t>
  </si>
  <si>
    <t>Laissé pour analyse (NIR 12,3)</t>
  </si>
  <si>
    <t>Laissé pour analyse (NIR 13,1)</t>
  </si>
  <si>
    <t>Laissé pour analyse (11,2)</t>
  </si>
  <si>
    <t>Cocaïne très compressée</t>
  </si>
  <si>
    <t>AHZQWS</t>
  </si>
  <si>
    <t>5T3YE6</t>
  </si>
  <si>
    <t>4L8TYB</t>
  </si>
  <si>
    <t>G4EGPV</t>
  </si>
  <si>
    <t>AS4QNZ</t>
  </si>
  <si>
    <t>plus un autre boulette</t>
  </si>
  <si>
    <t>408 basé (ajouté une autre boulette), encore humide</t>
  </si>
  <si>
    <t>SVF62T</t>
  </si>
  <si>
    <t>410 basé</t>
  </si>
  <si>
    <t>G766ZA</t>
  </si>
  <si>
    <t>412 basé</t>
  </si>
  <si>
    <t>Basé par elle-même avant</t>
  </si>
  <si>
    <t>LWPZEQ</t>
  </si>
  <si>
    <t>6SR9Z7</t>
  </si>
  <si>
    <t>408 basé; humide</t>
  </si>
  <si>
    <t>Laissé pour analyse (10,5%); reste d'un grip entammé</t>
  </si>
  <si>
    <t>Laissé pour analyse (80.8%)</t>
  </si>
  <si>
    <t>UW3AC5</t>
  </si>
  <si>
    <t>418 basé</t>
  </si>
  <si>
    <t>QVRNND</t>
  </si>
  <si>
    <t>420 basé</t>
  </si>
  <si>
    <t>7HPZD2</t>
  </si>
  <si>
    <t>Proche CBD</t>
  </si>
  <si>
    <t>HV3GEQ</t>
  </si>
  <si>
    <t>423 basé</t>
  </si>
  <si>
    <t>ZIHG6U</t>
  </si>
  <si>
    <t>8YC94N</t>
  </si>
  <si>
    <t>426 basé</t>
  </si>
  <si>
    <t>428 basé</t>
  </si>
  <si>
    <t>VB7PYN</t>
  </si>
  <si>
    <t>gratuite</t>
  </si>
  <si>
    <t>RN52AM</t>
  </si>
  <si>
    <t>Avec 179</t>
  </si>
  <si>
    <t>Avec 181</t>
  </si>
  <si>
    <t>Grip; laissé pour analyse (9,5%)</t>
  </si>
  <si>
    <t>Laissé pour analyse (13,2%); achète pour moins que 3.-/g</t>
  </si>
  <si>
    <t>Boulette qui contient 2 pacsons (un seul pesé et analysé), prix pour les deux</t>
  </si>
  <si>
    <t>432 basé</t>
  </si>
  <si>
    <t>une partie de 434 basé</t>
  </si>
  <si>
    <t>Gratuite</t>
  </si>
  <si>
    <t>60.- le gramme</t>
  </si>
  <si>
    <t>70 9gr</t>
  </si>
  <si>
    <t>441 basé</t>
  </si>
  <si>
    <t>3N68TW</t>
  </si>
  <si>
    <t>FTXFER</t>
  </si>
  <si>
    <t>YQ6QFE</t>
  </si>
  <si>
    <t>G7WJU4</t>
  </si>
  <si>
    <t>PL23CC</t>
  </si>
  <si>
    <t>8HFGPC</t>
  </si>
  <si>
    <t>544Y4N</t>
  </si>
  <si>
    <t>C7JSUB</t>
  </si>
  <si>
    <t>3QDRLX</t>
  </si>
  <si>
    <t>2-MMC</t>
  </si>
  <si>
    <t>Gratuit, elle s'attendait de la méth</t>
  </si>
  <si>
    <t>45FKL3</t>
  </si>
  <si>
    <t>446 basé</t>
  </si>
  <si>
    <t>UC2D58</t>
  </si>
  <si>
    <t>BJU9GM</t>
  </si>
  <si>
    <t>MDMA</t>
  </si>
  <si>
    <t>RLWTWZ</t>
  </si>
  <si>
    <t>Avant 200.- le g, maintenant 100</t>
  </si>
  <si>
    <t>Méthamphétamine</t>
  </si>
  <si>
    <t>6HABGE</t>
  </si>
  <si>
    <t>8XCC25</t>
  </si>
  <si>
    <t>455 basé</t>
  </si>
  <si>
    <t>4FWHX7</t>
  </si>
  <si>
    <t>TG3PLT</t>
  </si>
  <si>
    <t>CPNJ4N</t>
  </si>
  <si>
    <t>QZXGWH</t>
  </si>
  <si>
    <t>465 basé</t>
  </si>
  <si>
    <t>Il vend 1g à 10.-; laissé pour analyse</t>
  </si>
  <si>
    <t>PMHYNK</t>
  </si>
  <si>
    <t>Méth</t>
  </si>
  <si>
    <t>2MMC (attendu méth)</t>
  </si>
  <si>
    <t>Avec 196</t>
  </si>
  <si>
    <t>Avec 198</t>
  </si>
  <si>
    <t>Grip de 5g pour 100.- (entre 80 et 120); laissé pour analyse (NIR 12,4)</t>
  </si>
  <si>
    <t>Laissé pour analyse (2%)</t>
  </si>
  <si>
    <t>Inconnu (proche cellulose)</t>
  </si>
  <si>
    <t>Il vend 0,1 à 10.- (91,4)</t>
  </si>
  <si>
    <t>CYWDA7</t>
  </si>
  <si>
    <t>4 pour 30.-</t>
  </si>
  <si>
    <t>F47SLA</t>
  </si>
  <si>
    <t>Héroïne sel</t>
  </si>
  <si>
    <t>Vendu comme diaphine</t>
  </si>
  <si>
    <t>UT4RJ8</t>
  </si>
  <si>
    <t>J5NN34</t>
  </si>
  <si>
    <t>Basé en précédence</t>
  </si>
  <si>
    <t>467 basé</t>
  </si>
  <si>
    <t>JSET3V</t>
  </si>
  <si>
    <t>7M8HTV</t>
  </si>
  <si>
    <t>474 basé</t>
  </si>
  <si>
    <t>2Z5DMD</t>
  </si>
  <si>
    <t>MXJBVR</t>
  </si>
  <si>
    <t>AEMXLH</t>
  </si>
  <si>
    <t>Avec 207</t>
  </si>
  <si>
    <t>Avec 209</t>
  </si>
  <si>
    <t>Avec 212</t>
  </si>
  <si>
    <t>Avec 215</t>
  </si>
  <si>
    <t>3 pacsons échangés pour une taffe de crack</t>
  </si>
  <si>
    <t>FQMZZL</t>
  </si>
  <si>
    <t>478 basé</t>
  </si>
  <si>
    <t>XVQV62</t>
  </si>
  <si>
    <t>6CVL3J</t>
  </si>
  <si>
    <t>3NZKT9</t>
  </si>
  <si>
    <t>6HHLJM</t>
  </si>
  <si>
    <t>483 basé</t>
  </si>
  <si>
    <t>481 et 482 basé</t>
  </si>
  <si>
    <t>J7WP3B</t>
  </si>
  <si>
    <t>H2SCVS</t>
  </si>
  <si>
    <t>2UYY6G</t>
  </si>
  <si>
    <t>JEFQDX</t>
  </si>
  <si>
    <t>490 basé</t>
  </si>
  <si>
    <t>7MXLEQ</t>
  </si>
  <si>
    <t>7XT4UG</t>
  </si>
  <si>
    <t>Boulette entammée qui devait être du 0,5; en achetant 10g il paye 350.- (grossiste)</t>
  </si>
  <si>
    <t>494 basé, encore humide</t>
  </si>
  <si>
    <t>S765GU</t>
  </si>
  <si>
    <t xml:space="preserve">496 basé, encore très humide et problèmes </t>
  </si>
  <si>
    <t>C8YW9L</t>
  </si>
  <si>
    <t>Gratuit mais à la base 40.-</t>
  </si>
  <si>
    <t>QUVS8L</t>
  </si>
  <si>
    <t>6TEVVG</t>
  </si>
  <si>
    <t>EUZSL5</t>
  </si>
  <si>
    <t>79KBTZ</t>
  </si>
  <si>
    <t>RC77KJ</t>
  </si>
  <si>
    <t>500 basé</t>
  </si>
  <si>
    <t>Grip 5g à 70.-; une partie laissé pour l'analyse</t>
  </si>
  <si>
    <t>Offert</t>
  </si>
  <si>
    <t>Trouvé par terre</t>
  </si>
  <si>
    <t xml:space="preserve">50.- le gramme puis elle revend </t>
  </si>
  <si>
    <t>C8GHRT</t>
  </si>
  <si>
    <t>DB8CTW</t>
  </si>
  <si>
    <t>506 basé</t>
  </si>
  <si>
    <t>3RCS9Y</t>
  </si>
  <si>
    <t>Strip tests négatifs</t>
  </si>
  <si>
    <t>7EZ4XV</t>
  </si>
  <si>
    <t>ZG4P6A</t>
  </si>
  <si>
    <t>MWME2S</t>
  </si>
  <si>
    <t>739EEJ</t>
  </si>
  <si>
    <t>Testée deux fois car il voulait voir si le IC changeait</t>
  </si>
  <si>
    <t>Echangé contre une autre boulette</t>
  </si>
  <si>
    <t>35VVL5</t>
  </si>
  <si>
    <t>514 basé</t>
  </si>
  <si>
    <t>D8CY5F</t>
  </si>
  <si>
    <t>79Q4D7</t>
  </si>
  <si>
    <t>Q6SFFA</t>
  </si>
  <si>
    <t>Censée être la même que la 517, venu faire tester</t>
  </si>
  <si>
    <t>Avec 247</t>
  </si>
  <si>
    <t>Grip de 5g pour 150.-</t>
  </si>
  <si>
    <t>F93VKS</t>
  </si>
  <si>
    <t>e-liquide</t>
  </si>
  <si>
    <t>N4AYUG</t>
  </si>
  <si>
    <t>VX9SRZ</t>
  </si>
  <si>
    <t>Il peut les avoir au crédit</t>
  </si>
  <si>
    <t>XTC</t>
  </si>
  <si>
    <t>Proche MDMA</t>
  </si>
  <si>
    <t>veut pas laisser pour labo, 70€ pour 10 pièces</t>
  </si>
  <si>
    <t>SJTKRL</t>
  </si>
  <si>
    <t>C77F53</t>
  </si>
  <si>
    <t>e-vape</t>
  </si>
  <si>
    <t>DDHQC2</t>
  </si>
  <si>
    <t>521 basé</t>
  </si>
  <si>
    <t>533 basé</t>
  </si>
  <si>
    <t>CGTTC7</t>
  </si>
  <si>
    <t>5B5SYB</t>
  </si>
  <si>
    <t>Avec 258</t>
  </si>
  <si>
    <t>Avec 262</t>
  </si>
  <si>
    <t>Cadeau; labo: glycérine et nicotine</t>
  </si>
  <si>
    <t>PL5USS</t>
  </si>
  <si>
    <t>XE59KX</t>
  </si>
  <si>
    <t>N6585U</t>
  </si>
  <si>
    <t>539 basé</t>
  </si>
  <si>
    <t>FX3W74</t>
  </si>
  <si>
    <t>Basé par le dealer</t>
  </si>
  <si>
    <t>TU79XY</t>
  </si>
  <si>
    <t>2YX592</t>
  </si>
  <si>
    <t>544 basé; encore humide</t>
  </si>
  <si>
    <t xml:space="preserve">2,5g </t>
  </si>
  <si>
    <t>2XVZRT</t>
  </si>
  <si>
    <t>Déjé basé par le consommateur</t>
  </si>
  <si>
    <t>EXZBFG</t>
  </si>
  <si>
    <t>N9RW84</t>
  </si>
  <si>
    <t>553 basé</t>
  </si>
  <si>
    <t>EFLNDK</t>
  </si>
  <si>
    <t>Déjà basé par le consommateur, une boulette 0,5 à 25.-</t>
  </si>
  <si>
    <t>CBFG92</t>
  </si>
  <si>
    <t>556 basé</t>
  </si>
  <si>
    <t>N998KM</t>
  </si>
  <si>
    <t>ZD2L45</t>
  </si>
  <si>
    <t>559 basé, encore humide</t>
  </si>
  <si>
    <t>WM28BR</t>
  </si>
  <si>
    <t>héro sur alu laissé pour labo car rouge quand brûlé</t>
  </si>
  <si>
    <t>EWV5AE</t>
  </si>
  <si>
    <t>NVPLTG</t>
  </si>
  <si>
    <t>KSJWGU</t>
  </si>
  <si>
    <t>15.- pour une boulette 0,2 et une 0,5 (le delear s'est trompé au lieu de 2 à 0,2)</t>
  </si>
  <si>
    <t>566 basé</t>
  </si>
  <si>
    <t>564 basé</t>
  </si>
  <si>
    <t>3S7Q33</t>
  </si>
  <si>
    <t>Déjà basé par le consommateur</t>
  </si>
  <si>
    <t>87NLDH</t>
  </si>
  <si>
    <t>569 basé</t>
  </si>
  <si>
    <t>P64TSZ</t>
  </si>
  <si>
    <t>2Q764Y</t>
  </si>
  <si>
    <t>572 basé</t>
  </si>
  <si>
    <t>42H7BY</t>
  </si>
  <si>
    <t>Deux boulettes de 10.- chacune, basé par le consommateur</t>
  </si>
  <si>
    <t>EXGW8J</t>
  </si>
  <si>
    <t>575 basé, encore humide</t>
  </si>
  <si>
    <t>YCTDQB</t>
  </si>
  <si>
    <t>577 et 578 basés ensemble</t>
  </si>
  <si>
    <t>UL457J</t>
  </si>
  <si>
    <t>caféine</t>
  </si>
  <si>
    <t>2SNYXE</t>
  </si>
  <si>
    <t>consommée en speedball avec 581</t>
  </si>
  <si>
    <t>ZLL3YD</t>
  </si>
  <si>
    <t>583 basé</t>
  </si>
  <si>
    <t>YB9FKV</t>
  </si>
  <si>
    <t>11 boulettes basées par lui</t>
  </si>
  <si>
    <t>4A52CG</t>
  </si>
  <si>
    <t>44ZQ2W</t>
  </si>
  <si>
    <t>PJE7FB</t>
  </si>
  <si>
    <t>C79885</t>
  </si>
  <si>
    <t>591 basé, encore très humide</t>
  </si>
  <si>
    <t>L5VY4G</t>
  </si>
  <si>
    <t>S6X2SB</t>
  </si>
  <si>
    <t>même personne que 593 et 594 mais autre questionnaire, 593 basé</t>
  </si>
  <si>
    <t>5MAN4T</t>
  </si>
  <si>
    <t>NMB6CX</t>
  </si>
  <si>
    <t>Moitié, c'est lui qui a basé précédemment</t>
  </si>
  <si>
    <t>64B87A</t>
  </si>
  <si>
    <t>EL2L9E</t>
  </si>
  <si>
    <t>Prélevée; labo confirmé héro; héroïne extrêmement foncée; minigrip</t>
  </si>
  <si>
    <t>CG223S</t>
  </si>
  <si>
    <t>Cocaïne qui vient de marseille</t>
  </si>
  <si>
    <t>600 basé</t>
  </si>
  <si>
    <t>EKRLWT</t>
  </si>
  <si>
    <t>Acheté comme sevre-long 200</t>
  </si>
  <si>
    <t>Dormicum</t>
  </si>
  <si>
    <t>Xanax</t>
  </si>
  <si>
    <t>Acheté comme tranxilium 1,3 CHF pour 3 pilules</t>
  </si>
  <si>
    <t>Ordonnance</t>
  </si>
  <si>
    <t>CJNMMZ</t>
  </si>
  <si>
    <t>30.- le 0,5g</t>
  </si>
  <si>
    <t>EQMEFL</t>
  </si>
  <si>
    <t>XZE9XZ</t>
  </si>
  <si>
    <t>G85L7Z</t>
  </si>
  <si>
    <t>XYHDCV</t>
  </si>
  <si>
    <t>WUZB28</t>
  </si>
  <si>
    <t>2LF3V3</t>
  </si>
  <si>
    <t>6ZYS6P</t>
  </si>
  <si>
    <r>
      <t xml:space="preserve">Gélule orange trouvée par terre, </t>
    </r>
    <r>
      <rPr>
        <b/>
        <sz val="12"/>
        <color theme="1"/>
        <rFont val="Calibri"/>
        <family val="2"/>
        <scheme val="minor"/>
      </rPr>
      <t>gabapentin</t>
    </r>
  </si>
  <si>
    <t>613 basé</t>
  </si>
  <si>
    <t>Avec 307</t>
  </si>
  <si>
    <t>Avec 310</t>
  </si>
  <si>
    <t>Echantillon</t>
  </si>
  <si>
    <t>Pureté</t>
  </si>
  <si>
    <t>Poids</t>
  </si>
  <si>
    <t>Prix</t>
  </si>
  <si>
    <t>Proche héro</t>
  </si>
  <si>
    <t>AJY6K5</t>
  </si>
  <si>
    <t>120.- pour 5g; laissé pour labo</t>
  </si>
  <si>
    <t>617 basé</t>
  </si>
  <si>
    <t>7DBDNB</t>
  </si>
  <si>
    <t>XXTYB7</t>
  </si>
  <si>
    <t>Trois boulettes précédentes basées ensemble</t>
  </si>
  <si>
    <t>Petit morceau de la base précédente</t>
  </si>
  <si>
    <t>624 basé</t>
  </si>
  <si>
    <t>R49BTL</t>
  </si>
  <si>
    <t>K3EKAB</t>
  </si>
  <si>
    <t>5g pour 35.-/g</t>
  </si>
  <si>
    <t>ZX5MBJ</t>
  </si>
  <si>
    <t>7NZL3H</t>
  </si>
  <si>
    <t>Pas voulu laisser</t>
  </si>
  <si>
    <t>Même personne que 630 mais autre questionnaire</t>
  </si>
  <si>
    <t>Même que 629 mais amené par une autre personne qui a laissé pour labo</t>
  </si>
  <si>
    <t>Proche Héro</t>
  </si>
  <si>
    <t>TLM2RR</t>
  </si>
  <si>
    <t>2W68JT</t>
  </si>
  <si>
    <t>X8X3XF</t>
  </si>
  <si>
    <t>22QDMV</t>
  </si>
  <si>
    <t>TJJC9P</t>
  </si>
  <si>
    <t>635 basé</t>
  </si>
  <si>
    <t>641 + 642 combiné (230mg au total)</t>
  </si>
  <si>
    <t>X9PLYZ</t>
  </si>
  <si>
    <t>AW2P7C</t>
  </si>
  <si>
    <t>CWG82Q</t>
  </si>
  <si>
    <t>1x boulette. Acheté pour 8CHF</t>
  </si>
  <si>
    <t>1x cristal de crack anaylsé ; En a acheté 4 de poids simialire (environ 0.4g) pour 40 CHF</t>
  </si>
  <si>
    <t>En a acheté 700g (5CHF/g)</t>
  </si>
  <si>
    <t xml:space="preserve">A acheté 3x boulettes pour 25CHF </t>
  </si>
  <si>
    <t>Acheté en gros dans des minisgrips ; Aspect "aile de mouche" ; Se fait livré</t>
  </si>
  <si>
    <t>Acheté en gros dans des minisgrips ; Aspect "Ecaille de poisson" ; Se fait livré</t>
  </si>
  <si>
    <t>Prix pour un pacson de 0.2mg ; Strips tests négatifs</t>
  </si>
  <si>
    <t>3x minigrips : Se  fait livré (pas dis le prix) ; Strip test négatifs</t>
  </si>
  <si>
    <t>95ED44</t>
  </si>
  <si>
    <t>PXCASS</t>
  </si>
  <si>
    <t>CDGPSZ</t>
  </si>
  <si>
    <t>2XA9PD</t>
  </si>
  <si>
    <t>Pacson ; Nouvelle connaissance qui lui a offert</t>
  </si>
  <si>
    <t>D452XW</t>
  </si>
  <si>
    <t xml:space="preserve">Cocaïne HCL </t>
  </si>
  <si>
    <t xml:space="preserve">Pacson </t>
  </si>
  <si>
    <t>YBWP74</t>
  </si>
  <si>
    <t>Minigrip à acheter pour 5g (250 CHF pour 5g =&gt; 50 CHF pour 1g)</t>
  </si>
  <si>
    <t>Pacson de 430mg</t>
  </si>
  <si>
    <t>1x boulette</t>
  </si>
  <si>
    <t>1 boulette</t>
  </si>
  <si>
    <t>SEJZKS</t>
  </si>
  <si>
    <t>R2BKFV</t>
  </si>
  <si>
    <t>Pacson offert donc pas de prix. Prélevé pour le labo (DavidX) -&gt; Résidus de synthèse du paracétamol</t>
  </si>
  <si>
    <t>655 basé ; a basé 0.31g de cocaïne HCL</t>
  </si>
  <si>
    <t>645 basé</t>
  </si>
  <si>
    <t>649 basé</t>
  </si>
  <si>
    <t>651 basé (totalité)</t>
  </si>
  <si>
    <t>655 basé</t>
  </si>
  <si>
    <t>457 basé</t>
  </si>
  <si>
    <t>XHZGGV</t>
  </si>
  <si>
    <t>Minigrip 5g</t>
  </si>
  <si>
    <t>270.- pour 5g</t>
  </si>
  <si>
    <t>JVZTCH</t>
  </si>
  <si>
    <t>662 basé</t>
  </si>
  <si>
    <t>EDZZRA</t>
  </si>
  <si>
    <t>27FGQN</t>
  </si>
  <si>
    <t>Avec 339</t>
  </si>
  <si>
    <t>665 + une autre ensemble (au total 0,27)</t>
  </si>
  <si>
    <t>666 basé</t>
  </si>
  <si>
    <t>2TT698</t>
  </si>
  <si>
    <t>Acheté basé, probablement 0,4g pour 40.-</t>
  </si>
  <si>
    <t>CRD7HG</t>
  </si>
  <si>
    <t>0,11</t>
  </si>
  <si>
    <t>0,09</t>
  </si>
  <si>
    <t>0,16</t>
  </si>
  <si>
    <t>0,12</t>
  </si>
  <si>
    <t>0,17</t>
  </si>
  <si>
    <t>Acheté devant l'Antenne</t>
  </si>
  <si>
    <t>Acheté devant l'Antenne, vendu comme parachute puis emballé dans du papier</t>
  </si>
  <si>
    <t>0,13</t>
  </si>
  <si>
    <t>670 basé</t>
  </si>
  <si>
    <t>676 basé</t>
  </si>
  <si>
    <t>0,07</t>
  </si>
  <si>
    <t>0,21</t>
  </si>
  <si>
    <t xml:space="preserve">Grip de 1,5g + 2 boulettes à 50.-; prélevé en labo </t>
  </si>
  <si>
    <t>0,1</t>
  </si>
  <si>
    <t>684 basé</t>
  </si>
  <si>
    <t>Boulette entammé</t>
  </si>
  <si>
    <t>3 boulettes ensemble du même vendeur</t>
  </si>
  <si>
    <t>687 basé</t>
  </si>
  <si>
    <t>0,38</t>
  </si>
  <si>
    <t>Poudre qu'il y avait avec le caillou</t>
  </si>
  <si>
    <t>Caillou déjà prêt (offert) préparé par le vendeur et stocké sous forme de boulette</t>
  </si>
  <si>
    <t>0,08</t>
  </si>
  <si>
    <t>0,30</t>
  </si>
  <si>
    <t>691 basé</t>
  </si>
  <si>
    <t>0,45</t>
  </si>
  <si>
    <t>0,15</t>
  </si>
  <si>
    <t>694 basé</t>
  </si>
  <si>
    <t>Avec 357</t>
  </si>
  <si>
    <t>Avec 360</t>
  </si>
  <si>
    <t>0,41</t>
  </si>
  <si>
    <t xml:space="preserve">Minigrip entammé de 2g (pas indiqué prix) </t>
  </si>
  <si>
    <t>697 basé</t>
  </si>
  <si>
    <t>0,36</t>
  </si>
  <si>
    <t>Avec 364</t>
  </si>
  <si>
    <t>prix pas in</t>
  </si>
  <si>
    <t>700 basé</t>
  </si>
  <si>
    <t>DOUZE héro pas réconnues par NIR</t>
  </si>
  <si>
    <t>Paracétamol, caféine, diacétamate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</si>
</sst>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sz val="8"/>
      <color rgb="FF000000"/>
      <name val="Calibri"/>
      <family val="2"/>
      <scheme val="minor"/>
    </font>
    <font>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61">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10" xfId="0" applyNumberFormat="1" applyBorder="1"/>
    <xf numFmtId="0" fontId="0" fillId="0" borderId="10" xfId="0" applyBorder="1"/>
    <xf numFmtId="0" fontId="0" fillId="0" borderId="11" xfId="0" applyBorder="1"/>
    <xf numFmtId="0" fontId="0" fillId="0" borderId="12" xfId="0" applyBorder="1"/>
    <xf numFmtId="14" fontId="0" fillId="0" borderId="12" xfId="0" applyNumberFormat="1" applyBorder="1"/>
    <xf numFmtId="1" fontId="0" fillId="0" borderId="12" xfId="0" applyNumberFormat="1" applyBorder="1"/>
    <xf numFmtId="0" fontId="2" fillId="0" borderId="0" xfId="0" applyFont="1"/>
    <xf numFmtId="1" fontId="0" fillId="0" borderId="0" xfId="0" applyNumberFormat="1"/>
    <xf numFmtId="164" fontId="0" fillId="0" borderId="0" xfId="0" applyNumberFormat="1"/>
    <xf numFmtId="0" fontId="0" fillId="0" borderId="0" xfId="0" applyAlignment="1">
      <alignment horizontal="right"/>
    </xf>
    <xf numFmtId="0" fontId="0" fillId="0" borderId="15" xfId="0" applyBorder="1"/>
    <xf numFmtId="14" fontId="0" fillId="0" borderId="2" xfId="0" applyNumberFormat="1" applyBorder="1"/>
    <xf numFmtId="0" fontId="4" fillId="0" borderId="0" xfId="0" applyFont="1"/>
    <xf numFmtId="0" fontId="5" fillId="0" borderId="0" xfId="0" applyFont="1"/>
    <xf numFmtId="0" fontId="0" fillId="0" borderId="12" xfId="0"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horizontal="center" vertical="center" wrapText="1"/>
    </xf>
    <xf numFmtId="14" fontId="0" fillId="2" borderId="13" xfId="0" applyNumberFormat="1" applyFill="1" applyBorder="1"/>
    <xf numFmtId="17" fontId="0" fillId="0" borderId="0" xfId="0" applyNumberFormat="1"/>
    <xf numFmtId="49" fontId="0" fillId="0" borderId="0" xfId="0" applyNumberFormat="1"/>
    <xf numFmtId="14" fontId="0" fillId="0" borderId="13" xfId="0" applyNumberFormat="1" applyBorder="1"/>
    <xf numFmtId="14" fontId="0" fillId="0" borderId="16" xfId="0" applyNumberFormat="1" applyBorder="1"/>
    <xf numFmtId="0" fontId="0" fillId="0" borderId="16" xfId="0" applyBorder="1"/>
    <xf numFmtId="14" fontId="6" fillId="0" borderId="0" xfId="0" applyNumberFormat="1" applyFont="1"/>
    <xf numFmtId="0" fontId="6" fillId="0" borderId="0" xfId="0" applyFont="1"/>
    <xf numFmtId="0" fontId="2" fillId="0" borderId="5" xfId="0" applyFont="1" applyBorder="1"/>
    <xf numFmtId="0" fontId="0" fillId="0" borderId="15" xfId="0" applyBorder="1" applyAlignment="1">
      <alignment horizontal="center" vertical="center"/>
    </xf>
    <xf numFmtId="164" fontId="2" fillId="0" borderId="5" xfId="0" applyNumberFormat="1" applyFont="1" applyBorder="1"/>
    <xf numFmtId="164" fontId="2" fillId="0" borderId="0" xfId="0" applyNumberFormat="1" applyFont="1"/>
    <xf numFmtId="164" fontId="0" fillId="0" borderId="10" xfId="0" applyNumberFormat="1" applyBorder="1"/>
    <xf numFmtId="164" fontId="0" fillId="0" borderId="5" xfId="0" applyNumberFormat="1" applyBorder="1"/>
    <xf numFmtId="14" fontId="6" fillId="0" borderId="5" xfId="0" applyNumberFormat="1" applyFont="1" applyBorder="1"/>
    <xf numFmtId="0" fontId="6" fillId="0" borderId="5" xfId="0" applyFont="1" applyBorder="1"/>
    <xf numFmtId="0" fontId="6" fillId="0" borderId="6" xfId="0" applyFont="1" applyBorder="1"/>
    <xf numFmtId="2" fontId="0" fillId="0" borderId="0" xfId="0" applyNumberFormat="1"/>
    <xf numFmtId="0" fontId="6" fillId="0" borderId="8" xfId="0" applyFont="1" applyBorder="1"/>
    <xf numFmtId="0" fontId="0" fillId="0" borderId="8" xfId="0" applyBorder="1" applyAlignment="1">
      <alignment horizontal="left" vertical="center"/>
    </xf>
    <xf numFmtId="0" fontId="2" fillId="0" borderId="10" xfId="0" applyFont="1" applyBorder="1"/>
    <xf numFmtId="0" fontId="6" fillId="0" borderId="10" xfId="0" applyFont="1" applyBorder="1"/>
    <xf numFmtId="0" fontId="6" fillId="0" borderId="11" xfId="0" applyFont="1" applyBorder="1"/>
    <xf numFmtId="1" fontId="0" fillId="0" borderId="4" xfId="0" applyNumberFormat="1" applyBorder="1"/>
    <xf numFmtId="1" fontId="0" fillId="0" borderId="9" xfId="0" applyNumberFormat="1" applyBorder="1"/>
    <xf numFmtId="164" fontId="2" fillId="0" borderId="10" xfId="0" applyNumberFormat="1" applyFont="1" applyBorder="1"/>
    <xf numFmtId="1" fontId="6" fillId="0" borderId="0" xfId="0" applyNumberFormat="1" applyFont="1"/>
    <xf numFmtId="14" fontId="6" fillId="0" borderId="10" xfId="0" applyNumberFormat="1" applyFont="1" applyBorder="1"/>
    <xf numFmtId="0" fontId="0" fillId="0" borderId="17" xfId="0" applyBorder="1"/>
    <xf numFmtId="0" fontId="0" fillId="0" borderId="18" xfId="0" applyBorder="1"/>
    <xf numFmtId="0" fontId="0" fillId="0" borderId="13" xfId="0" applyBorder="1" applyAlignment="1">
      <alignment horizontal="center"/>
    </xf>
    <xf numFmtId="0" fontId="0" fillId="0" borderId="14" xfId="0" applyBorder="1" applyAlignment="1">
      <alignment horizontal="center"/>
    </xf>
  </cellXfs>
  <cellStyles count="2">
    <cellStyle name="Normal" xfId="0" builtinId="0"/>
    <cellStyle name="Normal 2" xfId="1" xr:uid="{C2C423AC-AC02-40FC-A2F0-5BDAEAF7EC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63888888888888"/>
          <c:y val="0.13572854291417166"/>
          <c:w val="0.5708333333333333"/>
          <c:h val="0.82035928143712578"/>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9E-2043-9482-AD42BC2A45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A9E-2043-9482-AD42BC2A45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A9E-2043-9482-AD42BC2A45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A9E-2043-9482-AD42BC2A4580}"/>
              </c:ext>
            </c:extLst>
          </c:dPt>
          <c:dLbls>
            <c:dLbl>
              <c:idx val="0"/>
              <c:tx>
                <c:rich>
                  <a:bodyPr/>
                  <a:lstStyle/>
                  <a:p>
                    <a:fld id="{45297070-15F1-4644-8C15-DB90796C077A}" type="CATEGORYNAME">
                      <a:rPr lang="en-US"/>
                      <a:pPr/>
                      <a:t>[NOM DE CATÉGORIE]</a:t>
                    </a:fld>
                    <a:r>
                      <a:rPr lang="en-US" baseline="0"/>
                      <a:t> n=</a:t>
                    </a:r>
                    <a:fld id="{6C17FEF6-6A07-9C49-8992-EC4BA3A6DAAC}" type="VALUE">
                      <a:rPr lang="en-US" baseline="0"/>
                      <a:pPr/>
                      <a:t>[VALEUR]</a:t>
                    </a:fld>
                    <a:endParaRPr lang="en-US" baseline="0"/>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AA9E-2043-9482-AD42BC2A4580}"/>
                </c:ext>
              </c:extLst>
            </c:dLbl>
            <c:dLbl>
              <c:idx val="1"/>
              <c:tx>
                <c:rich>
                  <a:bodyPr/>
                  <a:lstStyle/>
                  <a:p>
                    <a:fld id="{BD89C286-8FE2-F74C-A961-6B3AC2FFD82E}" type="CATEGORYNAME">
                      <a:rPr lang="en-US"/>
                      <a:pPr/>
                      <a:t>[NOM DE CATÉGORIE]</a:t>
                    </a:fld>
                    <a:r>
                      <a:rPr lang="en-US" baseline="0"/>
                      <a:t> n=</a:t>
                    </a:r>
                    <a:fld id="{D72DDC91-8146-E342-B00E-5A04D8CCF922}" type="VALUE">
                      <a:rPr lang="en-US" baseline="0"/>
                      <a:pPr/>
                      <a:t>[VALEUR]</a:t>
                    </a:fld>
                    <a:endParaRPr lang="en-US" baseline="0"/>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AA9E-2043-9482-AD42BC2A4580}"/>
                </c:ext>
              </c:extLst>
            </c:dLbl>
            <c:dLbl>
              <c:idx val="2"/>
              <c:tx>
                <c:rich>
                  <a:bodyPr/>
                  <a:lstStyle/>
                  <a:p>
                    <a:fld id="{4400408A-91E4-A941-B83B-28532004F1ED}" type="CATEGORYNAME">
                      <a:rPr lang="en-US"/>
                      <a:pPr/>
                      <a:t>[NOM DE CATÉGORIE]</a:t>
                    </a:fld>
                    <a:r>
                      <a:rPr lang="en-US" baseline="0"/>
                      <a:t> n=</a:t>
                    </a:r>
                    <a:fld id="{C447E6C8-4C19-3B45-9A92-2331BAD76F4C}" type="VALUE">
                      <a:rPr lang="en-US" baseline="0"/>
                      <a:pPr/>
                      <a:t>[VALEUR]</a:t>
                    </a:fld>
                    <a:endParaRPr lang="en-US" baseline="0"/>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AA9E-2043-9482-AD42BC2A4580}"/>
                </c:ext>
              </c:extLst>
            </c:dLbl>
            <c:dLbl>
              <c:idx val="3"/>
              <c:tx>
                <c:rich>
                  <a:bodyPr/>
                  <a:lstStyle/>
                  <a:p>
                    <a:fld id="{FA24D7D2-A539-5F46-A91F-AA0070AFA636}" type="CATEGORYNAME">
                      <a:rPr lang="en-US"/>
                      <a:pPr/>
                      <a:t>[NOM DE CATÉGORIE]</a:t>
                    </a:fld>
                    <a:r>
                      <a:rPr lang="en-US" baseline="0"/>
                      <a:t> n=</a:t>
                    </a:r>
                    <a:fld id="{0CC42196-3429-A341-957C-E9B4A7C3AA2F}" type="VALUE">
                      <a:rPr lang="en-US" baseline="0"/>
                      <a:pPr/>
                      <a:t>[VALEUR]</a:t>
                    </a:fld>
                    <a:endParaRPr lang="en-US" baseline="0"/>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AA9E-2043-9482-AD42BC2A45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data!$Z$70:$Z$73</c:f>
              <c:strCache>
                <c:ptCount val="4"/>
                <c:pt idx="0">
                  <c:v>Cocaïne sel</c:v>
                </c:pt>
                <c:pt idx="1">
                  <c:v>Crack</c:v>
                </c:pt>
                <c:pt idx="2">
                  <c:v>Héroïne</c:v>
                </c:pt>
                <c:pt idx="3">
                  <c:v>Autre</c:v>
                </c:pt>
              </c:strCache>
            </c:strRef>
          </c:cat>
          <c:val>
            <c:numRef>
              <c:f>data!$AA$70:$AA$73</c:f>
              <c:numCache>
                <c:formatCode>0</c:formatCode>
                <c:ptCount val="4"/>
                <c:pt idx="0">
                  <c:v>388</c:v>
                </c:pt>
                <c:pt idx="1">
                  <c:v>156</c:v>
                </c:pt>
                <c:pt idx="2">
                  <c:v>118</c:v>
                </c:pt>
                <c:pt idx="3">
                  <c:v>40</c:v>
                </c:pt>
              </c:numCache>
            </c:numRef>
          </c:val>
          <c:extLst>
            <c:ext xmlns:c16="http://schemas.microsoft.com/office/drawing/2014/chart" uri="{C3380CC4-5D6E-409C-BE32-E72D297353CC}">
              <c16:uniqueId val="{00000000-AA9E-2043-9482-AD42BC2A458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data!$Z$70:$Z$73</c:f>
              <c:strCache>
                <c:ptCount val="4"/>
                <c:pt idx="0">
                  <c:v>Cocaïne sel</c:v>
                </c:pt>
                <c:pt idx="1">
                  <c:v>Crack</c:v>
                </c:pt>
                <c:pt idx="2">
                  <c:v>Héroïne</c:v>
                </c:pt>
                <c:pt idx="3">
                  <c:v>Autre</c:v>
                </c:pt>
              </c:strCache>
            </c:strRef>
          </c:cat>
          <c:val>
            <c:numRef>
              <c:f>data!$AA$70:$AA$73</c:f>
              <c:numCache>
                <c:formatCode>0</c:formatCode>
                <c:ptCount val="4"/>
                <c:pt idx="0">
                  <c:v>388</c:v>
                </c:pt>
                <c:pt idx="1">
                  <c:v>156</c:v>
                </c:pt>
                <c:pt idx="2">
                  <c:v>118</c:v>
                </c:pt>
                <c:pt idx="3">
                  <c:v>40</c:v>
                </c:pt>
              </c:numCache>
            </c:numRef>
          </c:val>
          <c:extLst>
            <c:ext xmlns:c16="http://schemas.microsoft.com/office/drawing/2014/chart" uri="{C3380CC4-5D6E-409C-BE32-E72D297353CC}">
              <c16:uniqueId val="{00000000-22E4-C048-815B-838E7930F1EF}"/>
            </c:ext>
          </c:extLst>
        </c:ser>
        <c:dLbls>
          <c:showLegendKey val="0"/>
          <c:showVal val="0"/>
          <c:showCatName val="0"/>
          <c:showSerName val="0"/>
          <c:showPercent val="0"/>
          <c:showBubbleSize val="0"/>
        </c:dLbls>
        <c:gapWidth val="182"/>
        <c:axId val="621732719"/>
        <c:axId val="143786047"/>
      </c:barChart>
      <c:catAx>
        <c:axId val="621732719"/>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3786047"/>
        <c:crosses val="autoZero"/>
        <c:auto val="1"/>
        <c:lblAlgn val="ctr"/>
        <c:lblOffset val="100"/>
        <c:noMultiLvlLbl val="0"/>
      </c:catAx>
      <c:valAx>
        <c:axId val="14378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21732719"/>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cocaïne (n=388) - Ordre croissant</a:t>
            </a:r>
            <a:endParaRPr lang="fr-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CH"/>
        </a:p>
      </c:txPr>
    </c:title>
    <c:autoTitleDeleted val="0"/>
    <c:plotArea>
      <c:layout/>
      <c:scatterChart>
        <c:scatterStyle val="lineMarker"/>
        <c:varyColors val="0"/>
        <c:ser>
          <c:idx val="0"/>
          <c:order val="0"/>
          <c:tx>
            <c:strRef>
              <c:f>cocaine_HCl!$Z$1</c:f>
              <c:strCache>
                <c:ptCount val="1"/>
                <c:pt idx="0">
                  <c:v>pureté HCl</c:v>
                </c:pt>
              </c:strCache>
            </c:strRef>
          </c:tx>
          <c:spPr>
            <a:ln w="25400" cap="rnd">
              <a:noFill/>
              <a:round/>
            </a:ln>
            <a:effectLst/>
          </c:spPr>
          <c:marker>
            <c:symbol val="circle"/>
            <c:size val="5"/>
            <c:spPr>
              <a:solidFill>
                <a:schemeClr val="accent5">
                  <a:lumMod val="20000"/>
                  <a:lumOff val="80000"/>
                </a:schemeClr>
              </a:solidFill>
              <a:ln w="6350">
                <a:solidFill>
                  <a:schemeClr val="bg1">
                    <a:lumMod val="65000"/>
                  </a:schemeClr>
                </a:solidFill>
              </a:ln>
              <a:effectLst/>
            </c:spPr>
          </c:marker>
          <c:xVal>
            <c:numRef>
              <c:f>cocaine_HCl!$Z$2:$Z$400</c:f>
              <c:numCache>
                <c:formatCode>General</c:formatCode>
                <c:ptCount val="399"/>
                <c:pt idx="0">
                  <c:v>26.3</c:v>
                </c:pt>
                <c:pt idx="1">
                  <c:v>31.2</c:v>
                </c:pt>
                <c:pt idx="2">
                  <c:v>36.9</c:v>
                </c:pt>
                <c:pt idx="3">
                  <c:v>37.5</c:v>
                </c:pt>
                <c:pt idx="4">
                  <c:v>39.700000000000003</c:v>
                </c:pt>
                <c:pt idx="5">
                  <c:v>39.799999999999997</c:v>
                </c:pt>
                <c:pt idx="6">
                  <c:v>40.299999999999997</c:v>
                </c:pt>
                <c:pt idx="7">
                  <c:v>40.6</c:v>
                </c:pt>
                <c:pt idx="8">
                  <c:v>42.9</c:v>
                </c:pt>
                <c:pt idx="9">
                  <c:v>44</c:v>
                </c:pt>
                <c:pt idx="10">
                  <c:v>45.4</c:v>
                </c:pt>
                <c:pt idx="11">
                  <c:v>45.7</c:v>
                </c:pt>
                <c:pt idx="12">
                  <c:v>46</c:v>
                </c:pt>
                <c:pt idx="13">
                  <c:v>46.3</c:v>
                </c:pt>
                <c:pt idx="14">
                  <c:v>46.3</c:v>
                </c:pt>
                <c:pt idx="15">
                  <c:v>46.4</c:v>
                </c:pt>
                <c:pt idx="16">
                  <c:v>48.3</c:v>
                </c:pt>
                <c:pt idx="17">
                  <c:v>48.4</c:v>
                </c:pt>
                <c:pt idx="18">
                  <c:v>48.4</c:v>
                </c:pt>
                <c:pt idx="19">
                  <c:v>49.6</c:v>
                </c:pt>
                <c:pt idx="20">
                  <c:v>50.5</c:v>
                </c:pt>
                <c:pt idx="21">
                  <c:v>52.1</c:v>
                </c:pt>
                <c:pt idx="22">
                  <c:v>52.2</c:v>
                </c:pt>
                <c:pt idx="23">
                  <c:v>52.3</c:v>
                </c:pt>
                <c:pt idx="24">
                  <c:v>52.4</c:v>
                </c:pt>
                <c:pt idx="25">
                  <c:v>52.5</c:v>
                </c:pt>
                <c:pt idx="26">
                  <c:v>53</c:v>
                </c:pt>
                <c:pt idx="27">
                  <c:v>53.4</c:v>
                </c:pt>
                <c:pt idx="28">
                  <c:v>53.4</c:v>
                </c:pt>
                <c:pt idx="29">
                  <c:v>53.5</c:v>
                </c:pt>
                <c:pt idx="30">
                  <c:v>53.5</c:v>
                </c:pt>
                <c:pt idx="31">
                  <c:v>53.5</c:v>
                </c:pt>
                <c:pt idx="32">
                  <c:v>53.7</c:v>
                </c:pt>
                <c:pt idx="33">
                  <c:v>54.2</c:v>
                </c:pt>
                <c:pt idx="34">
                  <c:v>54.6</c:v>
                </c:pt>
                <c:pt idx="35">
                  <c:v>55.1</c:v>
                </c:pt>
                <c:pt idx="36">
                  <c:v>55.1</c:v>
                </c:pt>
                <c:pt idx="37">
                  <c:v>55.4</c:v>
                </c:pt>
                <c:pt idx="38">
                  <c:v>55.4</c:v>
                </c:pt>
                <c:pt idx="39">
                  <c:v>55.5</c:v>
                </c:pt>
                <c:pt idx="40">
                  <c:v>55.6</c:v>
                </c:pt>
                <c:pt idx="41">
                  <c:v>55.7</c:v>
                </c:pt>
                <c:pt idx="42">
                  <c:v>55.8</c:v>
                </c:pt>
                <c:pt idx="43">
                  <c:v>55.9</c:v>
                </c:pt>
                <c:pt idx="44">
                  <c:v>56</c:v>
                </c:pt>
                <c:pt idx="45">
                  <c:v>56.1</c:v>
                </c:pt>
                <c:pt idx="46">
                  <c:v>56.1</c:v>
                </c:pt>
                <c:pt idx="47">
                  <c:v>56.2</c:v>
                </c:pt>
                <c:pt idx="48">
                  <c:v>56.4</c:v>
                </c:pt>
                <c:pt idx="49">
                  <c:v>56.5</c:v>
                </c:pt>
                <c:pt idx="50">
                  <c:v>56.6</c:v>
                </c:pt>
                <c:pt idx="51">
                  <c:v>56.7</c:v>
                </c:pt>
                <c:pt idx="52">
                  <c:v>57.1</c:v>
                </c:pt>
                <c:pt idx="53">
                  <c:v>57.1</c:v>
                </c:pt>
                <c:pt idx="54">
                  <c:v>57.4</c:v>
                </c:pt>
                <c:pt idx="55">
                  <c:v>57.7</c:v>
                </c:pt>
                <c:pt idx="56">
                  <c:v>57.8</c:v>
                </c:pt>
                <c:pt idx="57">
                  <c:v>57.9</c:v>
                </c:pt>
                <c:pt idx="58">
                  <c:v>58.1</c:v>
                </c:pt>
                <c:pt idx="59">
                  <c:v>58.3</c:v>
                </c:pt>
                <c:pt idx="60">
                  <c:v>58.3</c:v>
                </c:pt>
                <c:pt idx="61">
                  <c:v>58.4</c:v>
                </c:pt>
                <c:pt idx="62">
                  <c:v>58.7</c:v>
                </c:pt>
                <c:pt idx="63">
                  <c:v>58.7</c:v>
                </c:pt>
                <c:pt idx="64">
                  <c:v>58.8</c:v>
                </c:pt>
                <c:pt idx="65">
                  <c:v>58.9</c:v>
                </c:pt>
                <c:pt idx="66">
                  <c:v>59.3</c:v>
                </c:pt>
                <c:pt idx="67">
                  <c:v>59.3</c:v>
                </c:pt>
                <c:pt idx="68">
                  <c:v>59.4</c:v>
                </c:pt>
                <c:pt idx="69">
                  <c:v>59.5</c:v>
                </c:pt>
                <c:pt idx="70">
                  <c:v>59.8</c:v>
                </c:pt>
                <c:pt idx="71">
                  <c:v>60.1</c:v>
                </c:pt>
                <c:pt idx="72">
                  <c:v>60.2</c:v>
                </c:pt>
                <c:pt idx="73">
                  <c:v>60.6</c:v>
                </c:pt>
                <c:pt idx="74">
                  <c:v>60.7</c:v>
                </c:pt>
                <c:pt idx="75">
                  <c:v>60.7</c:v>
                </c:pt>
                <c:pt idx="76">
                  <c:v>60.8</c:v>
                </c:pt>
                <c:pt idx="77">
                  <c:v>60.8</c:v>
                </c:pt>
                <c:pt idx="78">
                  <c:v>60.8</c:v>
                </c:pt>
                <c:pt idx="79">
                  <c:v>60.9</c:v>
                </c:pt>
                <c:pt idx="80">
                  <c:v>61.1</c:v>
                </c:pt>
                <c:pt idx="81">
                  <c:v>61.1</c:v>
                </c:pt>
                <c:pt idx="82">
                  <c:v>61.2</c:v>
                </c:pt>
                <c:pt idx="83">
                  <c:v>61.2</c:v>
                </c:pt>
                <c:pt idx="84">
                  <c:v>61.3</c:v>
                </c:pt>
                <c:pt idx="85">
                  <c:v>61.5</c:v>
                </c:pt>
                <c:pt idx="86">
                  <c:v>61.8</c:v>
                </c:pt>
                <c:pt idx="87">
                  <c:v>61.8</c:v>
                </c:pt>
                <c:pt idx="88">
                  <c:v>61.8</c:v>
                </c:pt>
                <c:pt idx="89">
                  <c:v>62.1</c:v>
                </c:pt>
                <c:pt idx="90">
                  <c:v>62.1</c:v>
                </c:pt>
                <c:pt idx="91">
                  <c:v>62.2</c:v>
                </c:pt>
                <c:pt idx="92">
                  <c:v>62.7</c:v>
                </c:pt>
                <c:pt idx="93">
                  <c:v>62.7</c:v>
                </c:pt>
                <c:pt idx="94">
                  <c:v>62.9</c:v>
                </c:pt>
                <c:pt idx="95">
                  <c:v>62.9</c:v>
                </c:pt>
                <c:pt idx="96">
                  <c:v>63.1</c:v>
                </c:pt>
                <c:pt idx="97">
                  <c:v>63.2</c:v>
                </c:pt>
                <c:pt idx="98">
                  <c:v>63.4</c:v>
                </c:pt>
                <c:pt idx="99">
                  <c:v>63.4</c:v>
                </c:pt>
                <c:pt idx="100">
                  <c:v>63.4</c:v>
                </c:pt>
                <c:pt idx="101">
                  <c:v>63.4</c:v>
                </c:pt>
                <c:pt idx="102">
                  <c:v>63.5</c:v>
                </c:pt>
                <c:pt idx="103">
                  <c:v>63.5</c:v>
                </c:pt>
                <c:pt idx="104">
                  <c:v>63.6</c:v>
                </c:pt>
                <c:pt idx="105">
                  <c:v>64.099999999999994</c:v>
                </c:pt>
                <c:pt idx="106">
                  <c:v>64.2</c:v>
                </c:pt>
                <c:pt idx="107">
                  <c:v>64.2</c:v>
                </c:pt>
                <c:pt idx="108">
                  <c:v>64.3</c:v>
                </c:pt>
                <c:pt idx="109">
                  <c:v>64.3</c:v>
                </c:pt>
                <c:pt idx="110">
                  <c:v>64.400000000000006</c:v>
                </c:pt>
                <c:pt idx="111">
                  <c:v>64.5</c:v>
                </c:pt>
                <c:pt idx="112">
                  <c:v>64.7</c:v>
                </c:pt>
                <c:pt idx="113">
                  <c:v>64.900000000000006</c:v>
                </c:pt>
                <c:pt idx="114">
                  <c:v>65</c:v>
                </c:pt>
                <c:pt idx="115">
                  <c:v>65</c:v>
                </c:pt>
                <c:pt idx="116">
                  <c:v>65.099999999999994</c:v>
                </c:pt>
                <c:pt idx="117">
                  <c:v>65.2</c:v>
                </c:pt>
                <c:pt idx="118">
                  <c:v>65.2</c:v>
                </c:pt>
                <c:pt idx="119">
                  <c:v>65.400000000000006</c:v>
                </c:pt>
                <c:pt idx="120">
                  <c:v>65.5</c:v>
                </c:pt>
                <c:pt idx="121">
                  <c:v>65.5</c:v>
                </c:pt>
                <c:pt idx="122">
                  <c:v>65.7</c:v>
                </c:pt>
                <c:pt idx="123">
                  <c:v>65.8</c:v>
                </c:pt>
                <c:pt idx="124">
                  <c:v>65.900000000000006</c:v>
                </c:pt>
                <c:pt idx="125">
                  <c:v>65.900000000000006</c:v>
                </c:pt>
                <c:pt idx="126">
                  <c:v>66</c:v>
                </c:pt>
                <c:pt idx="127">
                  <c:v>66.099999999999994</c:v>
                </c:pt>
                <c:pt idx="128">
                  <c:v>66.2</c:v>
                </c:pt>
                <c:pt idx="129">
                  <c:v>66.2</c:v>
                </c:pt>
                <c:pt idx="130">
                  <c:v>66.3</c:v>
                </c:pt>
                <c:pt idx="131">
                  <c:v>66.3</c:v>
                </c:pt>
                <c:pt idx="132">
                  <c:v>66.3</c:v>
                </c:pt>
                <c:pt idx="133">
                  <c:v>66.5</c:v>
                </c:pt>
                <c:pt idx="134">
                  <c:v>66.599999999999994</c:v>
                </c:pt>
                <c:pt idx="135">
                  <c:v>66.599999999999994</c:v>
                </c:pt>
                <c:pt idx="136">
                  <c:v>66.599999999999994</c:v>
                </c:pt>
                <c:pt idx="137">
                  <c:v>66.599999999999994</c:v>
                </c:pt>
                <c:pt idx="138">
                  <c:v>66.7</c:v>
                </c:pt>
                <c:pt idx="139">
                  <c:v>66.900000000000006</c:v>
                </c:pt>
                <c:pt idx="140">
                  <c:v>66.900000000000006</c:v>
                </c:pt>
                <c:pt idx="141">
                  <c:v>66.900000000000006</c:v>
                </c:pt>
                <c:pt idx="142">
                  <c:v>67</c:v>
                </c:pt>
                <c:pt idx="143">
                  <c:v>67</c:v>
                </c:pt>
                <c:pt idx="144">
                  <c:v>67.099999999999994</c:v>
                </c:pt>
                <c:pt idx="145">
                  <c:v>67.5</c:v>
                </c:pt>
                <c:pt idx="146">
                  <c:v>67.5</c:v>
                </c:pt>
                <c:pt idx="147">
                  <c:v>67.5</c:v>
                </c:pt>
                <c:pt idx="148">
                  <c:v>67.599999999999994</c:v>
                </c:pt>
                <c:pt idx="149">
                  <c:v>67.7</c:v>
                </c:pt>
                <c:pt idx="150">
                  <c:v>67.8</c:v>
                </c:pt>
                <c:pt idx="151">
                  <c:v>67.8</c:v>
                </c:pt>
                <c:pt idx="152">
                  <c:v>68</c:v>
                </c:pt>
                <c:pt idx="153">
                  <c:v>68.2</c:v>
                </c:pt>
                <c:pt idx="154">
                  <c:v>68.3</c:v>
                </c:pt>
                <c:pt idx="155">
                  <c:v>68.5</c:v>
                </c:pt>
                <c:pt idx="156">
                  <c:v>68.5</c:v>
                </c:pt>
                <c:pt idx="157">
                  <c:v>68.5</c:v>
                </c:pt>
                <c:pt idx="158">
                  <c:v>68.5</c:v>
                </c:pt>
                <c:pt idx="159">
                  <c:v>68.7</c:v>
                </c:pt>
                <c:pt idx="160">
                  <c:v>68.7</c:v>
                </c:pt>
                <c:pt idx="161">
                  <c:v>68.7</c:v>
                </c:pt>
                <c:pt idx="162">
                  <c:v>68.8</c:v>
                </c:pt>
                <c:pt idx="163">
                  <c:v>68.900000000000006</c:v>
                </c:pt>
                <c:pt idx="164">
                  <c:v>68.900000000000006</c:v>
                </c:pt>
                <c:pt idx="165">
                  <c:v>69</c:v>
                </c:pt>
                <c:pt idx="166">
                  <c:v>69</c:v>
                </c:pt>
                <c:pt idx="167">
                  <c:v>69.099999999999994</c:v>
                </c:pt>
                <c:pt idx="168">
                  <c:v>69.2</c:v>
                </c:pt>
                <c:pt idx="169">
                  <c:v>69.3</c:v>
                </c:pt>
                <c:pt idx="170">
                  <c:v>69.3</c:v>
                </c:pt>
                <c:pt idx="171">
                  <c:v>69.400000000000006</c:v>
                </c:pt>
                <c:pt idx="172">
                  <c:v>69.400000000000006</c:v>
                </c:pt>
                <c:pt idx="173">
                  <c:v>69.400000000000006</c:v>
                </c:pt>
                <c:pt idx="174">
                  <c:v>69.400000000000006</c:v>
                </c:pt>
                <c:pt idx="175">
                  <c:v>69.400000000000006</c:v>
                </c:pt>
                <c:pt idx="176">
                  <c:v>69.5</c:v>
                </c:pt>
                <c:pt idx="177">
                  <c:v>69.5</c:v>
                </c:pt>
                <c:pt idx="178">
                  <c:v>69.5</c:v>
                </c:pt>
                <c:pt idx="179">
                  <c:v>69.599999999999994</c:v>
                </c:pt>
                <c:pt idx="180">
                  <c:v>69.7</c:v>
                </c:pt>
                <c:pt idx="181">
                  <c:v>69.7</c:v>
                </c:pt>
                <c:pt idx="182">
                  <c:v>69.8</c:v>
                </c:pt>
                <c:pt idx="183">
                  <c:v>69.900000000000006</c:v>
                </c:pt>
                <c:pt idx="184">
                  <c:v>69.900000000000006</c:v>
                </c:pt>
                <c:pt idx="185">
                  <c:v>69.900000000000006</c:v>
                </c:pt>
                <c:pt idx="186">
                  <c:v>70</c:v>
                </c:pt>
                <c:pt idx="187">
                  <c:v>70.099999999999994</c:v>
                </c:pt>
                <c:pt idx="188">
                  <c:v>70.2</c:v>
                </c:pt>
                <c:pt idx="189">
                  <c:v>70.2</c:v>
                </c:pt>
                <c:pt idx="190">
                  <c:v>70.2</c:v>
                </c:pt>
                <c:pt idx="191">
                  <c:v>70.3</c:v>
                </c:pt>
                <c:pt idx="192">
                  <c:v>70.3</c:v>
                </c:pt>
                <c:pt idx="193">
                  <c:v>70.400000000000006</c:v>
                </c:pt>
                <c:pt idx="194">
                  <c:v>70.400000000000006</c:v>
                </c:pt>
                <c:pt idx="195">
                  <c:v>70.5</c:v>
                </c:pt>
                <c:pt idx="196">
                  <c:v>70.5</c:v>
                </c:pt>
                <c:pt idx="197">
                  <c:v>70.5</c:v>
                </c:pt>
                <c:pt idx="198">
                  <c:v>70.5</c:v>
                </c:pt>
                <c:pt idx="199">
                  <c:v>70.7</c:v>
                </c:pt>
                <c:pt idx="200">
                  <c:v>71</c:v>
                </c:pt>
                <c:pt idx="201">
                  <c:v>71</c:v>
                </c:pt>
                <c:pt idx="202">
                  <c:v>71</c:v>
                </c:pt>
                <c:pt idx="203">
                  <c:v>71</c:v>
                </c:pt>
                <c:pt idx="204">
                  <c:v>71.400000000000006</c:v>
                </c:pt>
                <c:pt idx="205">
                  <c:v>71.400000000000006</c:v>
                </c:pt>
                <c:pt idx="206">
                  <c:v>71.400000000000006</c:v>
                </c:pt>
                <c:pt idx="207">
                  <c:v>71.5</c:v>
                </c:pt>
                <c:pt idx="208">
                  <c:v>71.5</c:v>
                </c:pt>
                <c:pt idx="209">
                  <c:v>71.599999999999994</c:v>
                </c:pt>
                <c:pt idx="210">
                  <c:v>71.599999999999994</c:v>
                </c:pt>
                <c:pt idx="211">
                  <c:v>71.7</c:v>
                </c:pt>
                <c:pt idx="212">
                  <c:v>71.7</c:v>
                </c:pt>
                <c:pt idx="213">
                  <c:v>71.7</c:v>
                </c:pt>
                <c:pt idx="214">
                  <c:v>71.8</c:v>
                </c:pt>
                <c:pt idx="215">
                  <c:v>71.8</c:v>
                </c:pt>
                <c:pt idx="216">
                  <c:v>71.8</c:v>
                </c:pt>
                <c:pt idx="217">
                  <c:v>72</c:v>
                </c:pt>
                <c:pt idx="218">
                  <c:v>72</c:v>
                </c:pt>
                <c:pt idx="219">
                  <c:v>72</c:v>
                </c:pt>
                <c:pt idx="220">
                  <c:v>72.099999999999994</c:v>
                </c:pt>
                <c:pt idx="221">
                  <c:v>72.2</c:v>
                </c:pt>
                <c:pt idx="222">
                  <c:v>72.2</c:v>
                </c:pt>
                <c:pt idx="223">
                  <c:v>72.2</c:v>
                </c:pt>
                <c:pt idx="224">
                  <c:v>72.5</c:v>
                </c:pt>
                <c:pt idx="225">
                  <c:v>72.5</c:v>
                </c:pt>
                <c:pt idx="226">
                  <c:v>72.5</c:v>
                </c:pt>
                <c:pt idx="227">
                  <c:v>72.599999999999994</c:v>
                </c:pt>
                <c:pt idx="228">
                  <c:v>72.7</c:v>
                </c:pt>
                <c:pt idx="229">
                  <c:v>72.900000000000006</c:v>
                </c:pt>
                <c:pt idx="230">
                  <c:v>72.900000000000006</c:v>
                </c:pt>
                <c:pt idx="231">
                  <c:v>72.900000000000006</c:v>
                </c:pt>
                <c:pt idx="232">
                  <c:v>73</c:v>
                </c:pt>
                <c:pt idx="233">
                  <c:v>73.099999999999994</c:v>
                </c:pt>
                <c:pt idx="234">
                  <c:v>73.099999999999994</c:v>
                </c:pt>
                <c:pt idx="235">
                  <c:v>73.2</c:v>
                </c:pt>
                <c:pt idx="236">
                  <c:v>73.2</c:v>
                </c:pt>
                <c:pt idx="237">
                  <c:v>73.3</c:v>
                </c:pt>
                <c:pt idx="238">
                  <c:v>73.3</c:v>
                </c:pt>
                <c:pt idx="239">
                  <c:v>73.400000000000006</c:v>
                </c:pt>
                <c:pt idx="240">
                  <c:v>73.5</c:v>
                </c:pt>
                <c:pt idx="241">
                  <c:v>73.5</c:v>
                </c:pt>
                <c:pt idx="242">
                  <c:v>73.599999999999994</c:v>
                </c:pt>
                <c:pt idx="243">
                  <c:v>74</c:v>
                </c:pt>
                <c:pt idx="244">
                  <c:v>74.099999999999994</c:v>
                </c:pt>
                <c:pt idx="245">
                  <c:v>74.099999999999994</c:v>
                </c:pt>
                <c:pt idx="246">
                  <c:v>74.099999999999994</c:v>
                </c:pt>
                <c:pt idx="247">
                  <c:v>74.2</c:v>
                </c:pt>
                <c:pt idx="248">
                  <c:v>74.3</c:v>
                </c:pt>
                <c:pt idx="249">
                  <c:v>74.3</c:v>
                </c:pt>
                <c:pt idx="250">
                  <c:v>74.5</c:v>
                </c:pt>
                <c:pt idx="251">
                  <c:v>74.5</c:v>
                </c:pt>
                <c:pt idx="252">
                  <c:v>74.5</c:v>
                </c:pt>
                <c:pt idx="253">
                  <c:v>74.599999999999994</c:v>
                </c:pt>
                <c:pt idx="254">
                  <c:v>74.7</c:v>
                </c:pt>
                <c:pt idx="255">
                  <c:v>74.7</c:v>
                </c:pt>
                <c:pt idx="256">
                  <c:v>74.900000000000006</c:v>
                </c:pt>
                <c:pt idx="257">
                  <c:v>74.900000000000006</c:v>
                </c:pt>
                <c:pt idx="258">
                  <c:v>74.900000000000006</c:v>
                </c:pt>
                <c:pt idx="259">
                  <c:v>75</c:v>
                </c:pt>
                <c:pt idx="260">
                  <c:v>75.2</c:v>
                </c:pt>
                <c:pt idx="261">
                  <c:v>75.2</c:v>
                </c:pt>
                <c:pt idx="262">
                  <c:v>75.2</c:v>
                </c:pt>
                <c:pt idx="263">
                  <c:v>75.3</c:v>
                </c:pt>
                <c:pt idx="264">
                  <c:v>75.3</c:v>
                </c:pt>
                <c:pt idx="265">
                  <c:v>75.3</c:v>
                </c:pt>
                <c:pt idx="266">
                  <c:v>75.5</c:v>
                </c:pt>
                <c:pt idx="267">
                  <c:v>75.5</c:v>
                </c:pt>
                <c:pt idx="268">
                  <c:v>75.7</c:v>
                </c:pt>
                <c:pt idx="269">
                  <c:v>75.7</c:v>
                </c:pt>
                <c:pt idx="270">
                  <c:v>75.7</c:v>
                </c:pt>
                <c:pt idx="271">
                  <c:v>75.7</c:v>
                </c:pt>
                <c:pt idx="272">
                  <c:v>75.7</c:v>
                </c:pt>
                <c:pt idx="273">
                  <c:v>75.8</c:v>
                </c:pt>
                <c:pt idx="274">
                  <c:v>76</c:v>
                </c:pt>
                <c:pt idx="275">
                  <c:v>76.099999999999994</c:v>
                </c:pt>
                <c:pt idx="276">
                  <c:v>76.099999999999994</c:v>
                </c:pt>
                <c:pt idx="277">
                  <c:v>76.2</c:v>
                </c:pt>
                <c:pt idx="278">
                  <c:v>76.3</c:v>
                </c:pt>
                <c:pt idx="279">
                  <c:v>76.3</c:v>
                </c:pt>
                <c:pt idx="280">
                  <c:v>76.3</c:v>
                </c:pt>
                <c:pt idx="281">
                  <c:v>76.3</c:v>
                </c:pt>
                <c:pt idx="282">
                  <c:v>76.400000000000006</c:v>
                </c:pt>
                <c:pt idx="283">
                  <c:v>76.5</c:v>
                </c:pt>
                <c:pt idx="284">
                  <c:v>76.599999999999994</c:v>
                </c:pt>
                <c:pt idx="285">
                  <c:v>76.599999999999994</c:v>
                </c:pt>
                <c:pt idx="286">
                  <c:v>76.900000000000006</c:v>
                </c:pt>
                <c:pt idx="287">
                  <c:v>77</c:v>
                </c:pt>
                <c:pt idx="288">
                  <c:v>77.099999999999994</c:v>
                </c:pt>
                <c:pt idx="289">
                  <c:v>77.099999999999994</c:v>
                </c:pt>
                <c:pt idx="290">
                  <c:v>77.2</c:v>
                </c:pt>
                <c:pt idx="291">
                  <c:v>77.2</c:v>
                </c:pt>
                <c:pt idx="292">
                  <c:v>77.5</c:v>
                </c:pt>
                <c:pt idx="293">
                  <c:v>77.599999999999994</c:v>
                </c:pt>
                <c:pt idx="294">
                  <c:v>77.599999999999994</c:v>
                </c:pt>
                <c:pt idx="295">
                  <c:v>77.7</c:v>
                </c:pt>
                <c:pt idx="296">
                  <c:v>77.7</c:v>
                </c:pt>
                <c:pt idx="297">
                  <c:v>77.8</c:v>
                </c:pt>
                <c:pt idx="298">
                  <c:v>77.900000000000006</c:v>
                </c:pt>
                <c:pt idx="299">
                  <c:v>78</c:v>
                </c:pt>
                <c:pt idx="300">
                  <c:v>78.099999999999994</c:v>
                </c:pt>
                <c:pt idx="301">
                  <c:v>78.3</c:v>
                </c:pt>
                <c:pt idx="302">
                  <c:v>78.3</c:v>
                </c:pt>
                <c:pt idx="303">
                  <c:v>78.3</c:v>
                </c:pt>
                <c:pt idx="304">
                  <c:v>78.900000000000006</c:v>
                </c:pt>
                <c:pt idx="305">
                  <c:v>79</c:v>
                </c:pt>
                <c:pt idx="306">
                  <c:v>79.2</c:v>
                </c:pt>
                <c:pt idx="307">
                  <c:v>79.2</c:v>
                </c:pt>
                <c:pt idx="308">
                  <c:v>79.400000000000006</c:v>
                </c:pt>
                <c:pt idx="309">
                  <c:v>79.400000000000006</c:v>
                </c:pt>
                <c:pt idx="310">
                  <c:v>79.599999999999994</c:v>
                </c:pt>
                <c:pt idx="311">
                  <c:v>79.599999999999994</c:v>
                </c:pt>
                <c:pt idx="312">
                  <c:v>79.8</c:v>
                </c:pt>
                <c:pt idx="313">
                  <c:v>80</c:v>
                </c:pt>
                <c:pt idx="314">
                  <c:v>80</c:v>
                </c:pt>
                <c:pt idx="315">
                  <c:v>80.099999999999994</c:v>
                </c:pt>
                <c:pt idx="316">
                  <c:v>80.2</c:v>
                </c:pt>
                <c:pt idx="317">
                  <c:v>80.3</c:v>
                </c:pt>
                <c:pt idx="318">
                  <c:v>80.599999999999994</c:v>
                </c:pt>
                <c:pt idx="319">
                  <c:v>81.3</c:v>
                </c:pt>
                <c:pt idx="320">
                  <c:v>81.400000000000006</c:v>
                </c:pt>
                <c:pt idx="321">
                  <c:v>81.400000000000006</c:v>
                </c:pt>
                <c:pt idx="322">
                  <c:v>81.5</c:v>
                </c:pt>
                <c:pt idx="323">
                  <c:v>81.599999999999994</c:v>
                </c:pt>
                <c:pt idx="324">
                  <c:v>81.7</c:v>
                </c:pt>
                <c:pt idx="325">
                  <c:v>81.8</c:v>
                </c:pt>
                <c:pt idx="326">
                  <c:v>82.2</c:v>
                </c:pt>
                <c:pt idx="327">
                  <c:v>82.3</c:v>
                </c:pt>
                <c:pt idx="328">
                  <c:v>82.3</c:v>
                </c:pt>
                <c:pt idx="329">
                  <c:v>82.4</c:v>
                </c:pt>
                <c:pt idx="330">
                  <c:v>82.4</c:v>
                </c:pt>
                <c:pt idx="331">
                  <c:v>82.4</c:v>
                </c:pt>
                <c:pt idx="332">
                  <c:v>83</c:v>
                </c:pt>
                <c:pt idx="333">
                  <c:v>83</c:v>
                </c:pt>
                <c:pt idx="334">
                  <c:v>83.6</c:v>
                </c:pt>
                <c:pt idx="335">
                  <c:v>83.9</c:v>
                </c:pt>
                <c:pt idx="336">
                  <c:v>84</c:v>
                </c:pt>
                <c:pt idx="337">
                  <c:v>84</c:v>
                </c:pt>
                <c:pt idx="338">
                  <c:v>84.1</c:v>
                </c:pt>
                <c:pt idx="339">
                  <c:v>84.6</c:v>
                </c:pt>
                <c:pt idx="340">
                  <c:v>84.9</c:v>
                </c:pt>
                <c:pt idx="341">
                  <c:v>85.3</c:v>
                </c:pt>
                <c:pt idx="342">
                  <c:v>85.5</c:v>
                </c:pt>
                <c:pt idx="343">
                  <c:v>85.7</c:v>
                </c:pt>
                <c:pt idx="344">
                  <c:v>86.1</c:v>
                </c:pt>
                <c:pt idx="345">
                  <c:v>86.2</c:v>
                </c:pt>
                <c:pt idx="346">
                  <c:v>86.3</c:v>
                </c:pt>
                <c:pt idx="347">
                  <c:v>86.3</c:v>
                </c:pt>
                <c:pt idx="348">
                  <c:v>86.5</c:v>
                </c:pt>
                <c:pt idx="349">
                  <c:v>87.6</c:v>
                </c:pt>
                <c:pt idx="350">
                  <c:v>88</c:v>
                </c:pt>
                <c:pt idx="351">
                  <c:v>88.1</c:v>
                </c:pt>
                <c:pt idx="352">
                  <c:v>88.4</c:v>
                </c:pt>
                <c:pt idx="353">
                  <c:v>88.5</c:v>
                </c:pt>
                <c:pt idx="354">
                  <c:v>88.8</c:v>
                </c:pt>
                <c:pt idx="355">
                  <c:v>88.8</c:v>
                </c:pt>
                <c:pt idx="356">
                  <c:v>89.3</c:v>
                </c:pt>
                <c:pt idx="357">
                  <c:v>89.6</c:v>
                </c:pt>
                <c:pt idx="358">
                  <c:v>89.8</c:v>
                </c:pt>
                <c:pt idx="359">
                  <c:v>89.8</c:v>
                </c:pt>
                <c:pt idx="360">
                  <c:v>89.9</c:v>
                </c:pt>
                <c:pt idx="361">
                  <c:v>89.9</c:v>
                </c:pt>
                <c:pt idx="362">
                  <c:v>90</c:v>
                </c:pt>
                <c:pt idx="363">
                  <c:v>90.1</c:v>
                </c:pt>
                <c:pt idx="364">
                  <c:v>90.2</c:v>
                </c:pt>
                <c:pt idx="365">
                  <c:v>90.3</c:v>
                </c:pt>
                <c:pt idx="366">
                  <c:v>90.4</c:v>
                </c:pt>
                <c:pt idx="367">
                  <c:v>90.5</c:v>
                </c:pt>
                <c:pt idx="368">
                  <c:v>90.7</c:v>
                </c:pt>
                <c:pt idx="369">
                  <c:v>91.3</c:v>
                </c:pt>
                <c:pt idx="370">
                  <c:v>91.5</c:v>
                </c:pt>
                <c:pt idx="371">
                  <c:v>91.5</c:v>
                </c:pt>
                <c:pt idx="372">
                  <c:v>91.8</c:v>
                </c:pt>
                <c:pt idx="373">
                  <c:v>91.9</c:v>
                </c:pt>
                <c:pt idx="374">
                  <c:v>91.9</c:v>
                </c:pt>
                <c:pt idx="375">
                  <c:v>92</c:v>
                </c:pt>
                <c:pt idx="376">
                  <c:v>92.1</c:v>
                </c:pt>
                <c:pt idx="377">
                  <c:v>92.2</c:v>
                </c:pt>
                <c:pt idx="378">
                  <c:v>92.7</c:v>
                </c:pt>
                <c:pt idx="379">
                  <c:v>92.9</c:v>
                </c:pt>
                <c:pt idx="380">
                  <c:v>93.3</c:v>
                </c:pt>
                <c:pt idx="381">
                  <c:v>93.6</c:v>
                </c:pt>
                <c:pt idx="382">
                  <c:v>94.1</c:v>
                </c:pt>
                <c:pt idx="383">
                  <c:v>94.5</c:v>
                </c:pt>
                <c:pt idx="384">
                  <c:v>94.6</c:v>
                </c:pt>
                <c:pt idx="385">
                  <c:v>96.5</c:v>
                </c:pt>
                <c:pt idx="386">
                  <c:v>97.1</c:v>
                </c:pt>
                <c:pt idx="387">
                  <c:v>98.1</c:v>
                </c:pt>
              </c:numCache>
            </c:numRef>
          </c:xVal>
          <c:yVal>
            <c:numRef>
              <c:f>cocaine_HCl!$W$2:$W$400</c:f>
              <c:numCache>
                <c:formatCode>General</c:formatCode>
                <c:ptCount val="39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formatCode="0">
                  <c:v>351</c:v>
                </c:pt>
                <c:pt idx="351">
                  <c:v>352</c:v>
                </c:pt>
                <c:pt idx="352" formatCode="0">
                  <c:v>353</c:v>
                </c:pt>
                <c:pt idx="353">
                  <c:v>354</c:v>
                </c:pt>
                <c:pt idx="354">
                  <c:v>355</c:v>
                </c:pt>
                <c:pt idx="355" formatCode="0">
                  <c:v>356</c:v>
                </c:pt>
                <c:pt idx="356">
                  <c:v>357</c:v>
                </c:pt>
                <c:pt idx="357">
                  <c:v>358</c:v>
                </c:pt>
                <c:pt idx="358" formatCode="0">
                  <c:v>359</c:v>
                </c:pt>
                <c:pt idx="359">
                  <c:v>360</c:v>
                </c:pt>
                <c:pt idx="360">
                  <c:v>361</c:v>
                </c:pt>
                <c:pt idx="361" formatCode="0">
                  <c:v>362</c:v>
                </c:pt>
                <c:pt idx="362">
                  <c:v>363</c:v>
                </c:pt>
                <c:pt idx="363">
                  <c:v>364</c:v>
                </c:pt>
                <c:pt idx="364" formatCode="0">
                  <c:v>365</c:v>
                </c:pt>
                <c:pt idx="365">
                  <c:v>366</c:v>
                </c:pt>
                <c:pt idx="366">
                  <c:v>367</c:v>
                </c:pt>
                <c:pt idx="367" formatCode="0">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numCache>
            </c:numRef>
          </c:yVal>
          <c:smooth val="0"/>
          <c:extLst>
            <c:ext xmlns:c16="http://schemas.microsoft.com/office/drawing/2014/chart" uri="{C3380CC4-5D6E-409C-BE32-E72D297353CC}">
              <c16:uniqueId val="{00000090-AACF-2547-9B93-D79410F521FA}"/>
            </c:ext>
          </c:extLst>
        </c:ser>
        <c:dLbls>
          <c:showLegendKey val="0"/>
          <c:showVal val="0"/>
          <c:showCatName val="0"/>
          <c:showSerName val="0"/>
          <c:showPercent val="0"/>
          <c:showBubbleSize val="0"/>
        </c:dLbls>
        <c:axId val="1570981615"/>
        <c:axId val="1571840207"/>
      </c:scatterChart>
      <c:valAx>
        <c:axId val="1570981615"/>
        <c:scaling>
          <c:orientation val="minMax"/>
          <c:max val="10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571840207"/>
        <c:crosses val="autoZero"/>
        <c:crossBetween val="midCat"/>
      </c:valAx>
      <c:valAx>
        <c:axId val="1571840207"/>
        <c:scaling>
          <c:orientation val="minMax"/>
          <c:max val="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échantillons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570981615"/>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cocaïne</a:t>
            </a:r>
            <a:r>
              <a:rPr lang="fr-FR" baseline="0"/>
              <a:t> </a:t>
            </a:r>
            <a:r>
              <a:rPr lang="fr-FR"/>
              <a:t>(n=388)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stacked"/>
        <c:varyColors val="0"/>
        <c:ser>
          <c:idx val="0"/>
          <c:order val="0"/>
          <c:tx>
            <c:strRef>
              <c:f>cocaine_HCl!$H$41</c:f>
              <c:strCache>
                <c:ptCount val="1"/>
                <c:pt idx="0">
                  <c:v>min</c:v>
                </c:pt>
              </c:strCache>
            </c:strRef>
          </c:tx>
          <c:spPr>
            <a:noFill/>
            <a:ln>
              <a:noFill/>
            </a:ln>
            <a:effectLst/>
          </c:spPr>
          <c:invertIfNegative val="0"/>
          <c:cat>
            <c:strRef>
              <c:f>cocaine_HCl!$I$40</c:f>
              <c:strCache>
                <c:ptCount val="1"/>
                <c:pt idx="0">
                  <c:v>Cocaine sel</c:v>
                </c:pt>
              </c:strCache>
            </c:strRef>
          </c:cat>
          <c:val>
            <c:numRef>
              <c:f>cocaine_HCl!$I$41</c:f>
              <c:numCache>
                <c:formatCode>General</c:formatCode>
                <c:ptCount val="1"/>
                <c:pt idx="0">
                  <c:v>26.3</c:v>
                </c:pt>
              </c:numCache>
            </c:numRef>
          </c:val>
          <c:extLst>
            <c:ext xmlns:c16="http://schemas.microsoft.com/office/drawing/2014/chart" uri="{C3380CC4-5D6E-409C-BE32-E72D297353CC}">
              <c16:uniqueId val="{00000000-8D91-BD42-BBC2-81EFE5E8F7E7}"/>
            </c:ext>
          </c:extLst>
        </c:ser>
        <c:ser>
          <c:idx val="1"/>
          <c:order val="1"/>
          <c:tx>
            <c:strRef>
              <c:f>cocaine_HCl!$H$42</c:f>
              <c:strCache>
                <c:ptCount val="1"/>
                <c:pt idx="0">
                  <c:v>1-min</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cocaine_HCl!$I$40</c:f>
              <c:strCache>
                <c:ptCount val="1"/>
                <c:pt idx="0">
                  <c:v>Cocaine sel</c:v>
                </c:pt>
              </c:strCache>
            </c:strRef>
          </c:cat>
          <c:val>
            <c:numRef>
              <c:f>cocaine_HCl!$I$42</c:f>
              <c:numCache>
                <c:formatCode>General</c:formatCode>
                <c:ptCount val="1"/>
                <c:pt idx="0">
                  <c:v>36.875</c:v>
                </c:pt>
              </c:numCache>
            </c:numRef>
          </c:val>
          <c:extLst>
            <c:ext xmlns:c16="http://schemas.microsoft.com/office/drawing/2014/chart" uri="{C3380CC4-5D6E-409C-BE32-E72D297353CC}">
              <c16:uniqueId val="{00000001-8D91-BD42-BBC2-81EFE5E8F7E7}"/>
            </c:ext>
          </c:extLst>
        </c:ser>
        <c:ser>
          <c:idx val="2"/>
          <c:order val="2"/>
          <c:tx>
            <c:strRef>
              <c:f>cocaine_HCl!$H$43</c:f>
              <c:strCache>
                <c:ptCount val="1"/>
                <c:pt idx="0">
                  <c:v>méd-1</c:v>
                </c:pt>
              </c:strCache>
            </c:strRef>
          </c:tx>
          <c:spPr>
            <a:solidFill>
              <a:schemeClr val="accent5">
                <a:lumMod val="20000"/>
                <a:lumOff val="80000"/>
              </a:schemeClr>
            </a:solidFill>
            <a:ln>
              <a:solidFill>
                <a:schemeClr val="tx1">
                  <a:lumMod val="50000"/>
                  <a:lumOff val="50000"/>
                </a:schemeClr>
              </a:solidFill>
            </a:ln>
            <a:effectLst/>
          </c:spPr>
          <c:invertIfNegative val="0"/>
          <c:cat>
            <c:strRef>
              <c:f>cocaine_HCl!$I$40</c:f>
              <c:strCache>
                <c:ptCount val="1"/>
                <c:pt idx="0">
                  <c:v>Cocaine sel</c:v>
                </c:pt>
              </c:strCache>
            </c:strRef>
          </c:cat>
          <c:val>
            <c:numRef>
              <c:f>cocaine_HCl!$I$43</c:f>
              <c:numCache>
                <c:formatCode>General</c:formatCode>
                <c:ptCount val="1"/>
                <c:pt idx="0">
                  <c:v>7.2250000000000014</c:v>
                </c:pt>
              </c:numCache>
            </c:numRef>
          </c:val>
          <c:extLst>
            <c:ext xmlns:c16="http://schemas.microsoft.com/office/drawing/2014/chart" uri="{C3380CC4-5D6E-409C-BE32-E72D297353CC}">
              <c16:uniqueId val="{00000002-8D91-BD42-BBC2-81EFE5E8F7E7}"/>
            </c:ext>
          </c:extLst>
        </c:ser>
        <c:ser>
          <c:idx val="3"/>
          <c:order val="3"/>
          <c:tx>
            <c:strRef>
              <c:f>cocaine_HCl!$H$44</c:f>
              <c:strCache>
                <c:ptCount val="1"/>
                <c:pt idx="0">
                  <c:v>3-méd</c:v>
                </c:pt>
              </c:strCache>
            </c:strRef>
          </c:tx>
          <c:spPr>
            <a:solidFill>
              <a:schemeClr val="accent5">
                <a:lumMod val="20000"/>
                <a:lumOff val="80000"/>
              </a:schemeClr>
            </a:solidFill>
            <a:ln>
              <a:solidFill>
                <a:schemeClr val="tx1">
                  <a:lumMod val="50000"/>
                  <a:lumOff val="50000"/>
                </a:schemeClr>
              </a:solidFill>
            </a:ln>
            <a:effectLst/>
          </c:spPr>
          <c:invertIfNegative val="0"/>
          <c:cat>
            <c:strRef>
              <c:f>cocaine_HCl!$I$40</c:f>
              <c:strCache>
                <c:ptCount val="1"/>
                <c:pt idx="0">
                  <c:v>Cocaine sel</c:v>
                </c:pt>
              </c:strCache>
            </c:strRef>
          </c:cat>
          <c:val>
            <c:numRef>
              <c:f>cocaine_HCl!$I$44</c:f>
              <c:numCache>
                <c:formatCode>General</c:formatCode>
                <c:ptCount val="1"/>
                <c:pt idx="0">
                  <c:v>6.7999999999999972</c:v>
                </c:pt>
              </c:numCache>
            </c:numRef>
          </c:val>
          <c:extLst>
            <c:ext xmlns:c16="http://schemas.microsoft.com/office/drawing/2014/chart" uri="{C3380CC4-5D6E-409C-BE32-E72D297353CC}">
              <c16:uniqueId val="{00000003-8D91-BD42-BBC2-81EFE5E8F7E7}"/>
            </c:ext>
          </c:extLst>
        </c:ser>
        <c:ser>
          <c:idx val="4"/>
          <c:order val="4"/>
          <c:tx>
            <c:strRef>
              <c:f>cocaine_HCl!$H$45</c:f>
              <c:strCache>
                <c:ptCount val="1"/>
                <c:pt idx="0">
                  <c:v>max-3</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cocaine_HCl!$I$40</c:f>
              <c:strCache>
                <c:ptCount val="1"/>
                <c:pt idx="0">
                  <c:v>Cocaine sel</c:v>
                </c:pt>
              </c:strCache>
            </c:strRef>
          </c:cat>
          <c:val>
            <c:numRef>
              <c:f>cocaine_HCl!$I$45</c:f>
              <c:numCache>
                <c:formatCode>General</c:formatCode>
                <c:ptCount val="1"/>
                <c:pt idx="0">
                  <c:v>20.899999999999991</c:v>
                </c:pt>
              </c:numCache>
            </c:numRef>
          </c:val>
          <c:extLst>
            <c:ext xmlns:c16="http://schemas.microsoft.com/office/drawing/2014/chart" uri="{C3380CC4-5D6E-409C-BE32-E72D297353CC}">
              <c16:uniqueId val="{00000004-8D91-BD42-BBC2-81EFE5E8F7E7}"/>
            </c:ext>
          </c:extLst>
        </c:ser>
        <c:dLbls>
          <c:showLegendKey val="0"/>
          <c:showVal val="0"/>
          <c:showCatName val="0"/>
          <c:showSerName val="0"/>
          <c:showPercent val="0"/>
          <c:showBubbleSize val="0"/>
        </c:dLbls>
        <c:gapWidth val="150"/>
        <c:overlap val="100"/>
        <c:axId val="70560415"/>
        <c:axId val="71165055"/>
      </c:barChart>
      <c:catAx>
        <c:axId val="70560415"/>
        <c:scaling>
          <c:orientation val="minMax"/>
        </c:scaling>
        <c:delete val="1"/>
        <c:axPos val="b"/>
        <c:numFmt formatCode="General" sourceLinked="1"/>
        <c:majorTickMark val="none"/>
        <c:minorTickMark val="none"/>
        <c:tickLblPos val="nextTo"/>
        <c:crossAx val="71165055"/>
        <c:crosses val="autoZero"/>
        <c:auto val="1"/>
        <c:lblAlgn val="ctr"/>
        <c:lblOffset val="100"/>
        <c:noMultiLvlLbl val="0"/>
      </c:catAx>
      <c:valAx>
        <c:axId val="71165055"/>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7056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Distribution de la pureté - Cocaïne (n=388)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clustered"/>
        <c:varyColors val="0"/>
        <c:ser>
          <c:idx val="1"/>
          <c:order val="0"/>
          <c:tx>
            <c:strRef>
              <c:f>cocaine_HCl!$AD$2</c:f>
              <c:strCache>
                <c:ptCount val="1"/>
                <c:pt idx="0">
                  <c:v>Frequence</c:v>
                </c:pt>
              </c:strCache>
            </c:strRef>
          </c:tx>
          <c:spPr>
            <a:solidFill>
              <a:schemeClr val="accent5">
                <a:lumMod val="20000"/>
                <a:lumOff val="80000"/>
              </a:schemeClr>
            </a:solidFill>
            <a:ln>
              <a:solidFill>
                <a:schemeClr val="bg1">
                  <a:lumMod val="65000"/>
                </a:schemeClr>
              </a:solidFill>
            </a:ln>
            <a:effectLst/>
          </c:spPr>
          <c:invertIfNegative val="0"/>
          <c:dLbls>
            <c:dLbl>
              <c:idx val="0"/>
              <c:tx>
                <c:rich>
                  <a:bodyPr/>
                  <a:lstStyle/>
                  <a:p>
                    <a:fld id="{437F63D0-577B-4547-AB99-02F99145E434}" type="CELLRANGE">
                      <a:rPr lang="en-US"/>
                      <a:pPr/>
                      <a:t>[PLAGECELL]</a:t>
                    </a:fld>
                    <a:r>
                      <a:rPr lang="en-US"/>
                      <a:t>%</a:t>
                    </a:r>
                    <a:endParaRPr lang="en-US" baseline="0"/>
                  </a:p>
                  <a:p>
                    <a:r>
                      <a:rPr lang="en-US"/>
                      <a:t>n=</a:t>
                    </a:r>
                    <a:fld id="{69CC6368-3FFF-7346-B8F6-17B9844BD6DA}"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C419-3E4D-A130-B54AACFCEB08}"/>
                </c:ext>
              </c:extLst>
            </c:dLbl>
            <c:dLbl>
              <c:idx val="1"/>
              <c:tx>
                <c:rich>
                  <a:bodyPr/>
                  <a:lstStyle/>
                  <a:p>
                    <a:fld id="{50C8C679-EB25-224F-940F-D1F6B3F97A99}" type="CELLRANGE">
                      <a:rPr lang="en-US"/>
                      <a:pPr/>
                      <a:t>[PLAGECELL]</a:t>
                    </a:fld>
                    <a:r>
                      <a:rPr lang="en-US"/>
                      <a:t>%</a:t>
                    </a:r>
                    <a:endParaRPr lang="en-US" baseline="0"/>
                  </a:p>
                  <a:p>
                    <a:r>
                      <a:rPr lang="en-US"/>
                      <a:t>n=</a:t>
                    </a:r>
                    <a:fld id="{43C2837D-728A-3D40-B80D-B5AC4758B8E5}"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C419-3E4D-A130-B54AACFCEB08}"/>
                </c:ext>
              </c:extLst>
            </c:dLbl>
            <c:dLbl>
              <c:idx val="2"/>
              <c:tx>
                <c:rich>
                  <a:bodyPr/>
                  <a:lstStyle/>
                  <a:p>
                    <a:fld id="{F4DC0669-A523-294C-9C09-1747793ADB67}" type="CELLRANGE">
                      <a:rPr lang="en-US"/>
                      <a:pPr/>
                      <a:t>[PLAGECELL]</a:t>
                    </a:fld>
                    <a:r>
                      <a:rPr lang="en-US"/>
                      <a:t>%</a:t>
                    </a:r>
                    <a:endParaRPr lang="en-US" baseline="0"/>
                  </a:p>
                  <a:p>
                    <a:r>
                      <a:rPr lang="en-US"/>
                      <a:t>n=</a:t>
                    </a:r>
                    <a:fld id="{7593275A-9AE2-B94F-B1E2-BCE9A185A04D}"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C419-3E4D-A130-B54AACFCEB08}"/>
                </c:ext>
              </c:extLst>
            </c:dLbl>
            <c:dLbl>
              <c:idx val="3"/>
              <c:tx>
                <c:rich>
                  <a:bodyPr/>
                  <a:lstStyle/>
                  <a:p>
                    <a:fld id="{2B2017A4-8015-7B45-8924-C64E1B7FB2B4}" type="CELLRANGE">
                      <a:rPr lang="en-US"/>
                      <a:pPr/>
                      <a:t>[PLAGECELL]</a:t>
                    </a:fld>
                    <a:r>
                      <a:rPr lang="en-US"/>
                      <a:t>%</a:t>
                    </a:r>
                    <a:endParaRPr lang="en-US" baseline="0"/>
                  </a:p>
                  <a:p>
                    <a:r>
                      <a:rPr lang="en-US"/>
                      <a:t>n=</a:t>
                    </a:r>
                    <a:fld id="{CABB7ADC-7BF6-8144-A4E6-CABEB64D2717}"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C419-3E4D-A130-B54AACFCEB08}"/>
                </c:ext>
              </c:extLst>
            </c:dLbl>
            <c:dLbl>
              <c:idx val="4"/>
              <c:tx>
                <c:rich>
                  <a:bodyPr/>
                  <a:lstStyle/>
                  <a:p>
                    <a:fld id="{349F988D-8E7A-C548-B83F-BD6EB536A1EE}" type="CELLRANGE">
                      <a:rPr lang="en-US"/>
                      <a:pPr/>
                      <a:t>[PLAGECELL]</a:t>
                    </a:fld>
                    <a:r>
                      <a:rPr lang="en-US"/>
                      <a:t>%</a:t>
                    </a:r>
                    <a:endParaRPr lang="en-US" baseline="0"/>
                  </a:p>
                  <a:p>
                    <a:r>
                      <a:rPr lang="en-US"/>
                      <a:t>n=</a:t>
                    </a:r>
                    <a:fld id="{6B1EF4F3-7AA1-0240-9BD1-3DF55AD2E060}"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C419-3E4D-A130-B54AACFCEB08}"/>
                </c:ext>
              </c:extLst>
            </c:dLbl>
            <c:dLbl>
              <c:idx val="5"/>
              <c:tx>
                <c:rich>
                  <a:bodyPr/>
                  <a:lstStyle/>
                  <a:p>
                    <a:fld id="{829BB89C-A2FB-184F-AC6D-48867D433587}" type="CELLRANGE">
                      <a:rPr lang="en-US"/>
                      <a:pPr/>
                      <a:t>[PLAGECELL]</a:t>
                    </a:fld>
                    <a:r>
                      <a:rPr lang="en-US"/>
                      <a:t>%</a:t>
                    </a:r>
                    <a:endParaRPr lang="en-US" baseline="0"/>
                  </a:p>
                  <a:p>
                    <a:r>
                      <a:rPr lang="en-US"/>
                      <a:t>n=</a:t>
                    </a:r>
                    <a:fld id="{560F2237-8A0E-B040-8958-DF57CF399D62}"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C419-3E4D-A130-B54AACFCEB08}"/>
                </c:ext>
              </c:extLst>
            </c:dLbl>
            <c:dLbl>
              <c:idx val="6"/>
              <c:tx>
                <c:rich>
                  <a:bodyPr/>
                  <a:lstStyle/>
                  <a:p>
                    <a:fld id="{65B60534-6B53-F842-BCA7-B2CBDE26889E}" type="CELLRANGE">
                      <a:rPr lang="en-US"/>
                      <a:pPr/>
                      <a:t>[PLAGECELL]</a:t>
                    </a:fld>
                    <a:r>
                      <a:rPr lang="en-US"/>
                      <a:t>%</a:t>
                    </a:r>
                    <a:endParaRPr lang="en-US" baseline="0"/>
                  </a:p>
                  <a:p>
                    <a:r>
                      <a:rPr lang="en-US"/>
                      <a:t>n=</a:t>
                    </a:r>
                    <a:fld id="{2A9D05A1-6B79-2742-8CDB-598C227391AF}"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C419-3E4D-A130-B54AACFCEB08}"/>
                </c:ext>
              </c:extLst>
            </c:dLbl>
            <c:dLbl>
              <c:idx val="7"/>
              <c:tx>
                <c:rich>
                  <a:bodyPr/>
                  <a:lstStyle/>
                  <a:p>
                    <a:fld id="{8AAB3DEB-E927-0541-841D-D1951A11399B}" type="CELLRANGE">
                      <a:rPr lang="en-US"/>
                      <a:pPr/>
                      <a:t>[PLAGECELL]</a:t>
                    </a:fld>
                    <a:r>
                      <a:rPr lang="en-US"/>
                      <a:t>%</a:t>
                    </a:r>
                    <a:endParaRPr lang="en-US" baseline="0"/>
                  </a:p>
                  <a:p>
                    <a:r>
                      <a:rPr lang="en-US"/>
                      <a:t>n=</a:t>
                    </a:r>
                    <a:fld id="{A3AB3BB1-7A34-A14E-B767-49E9287D9E13}"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C419-3E4D-A130-B54AACFCEB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cocaine_HCl!$AB$3:$AB$10</c:f>
              <c:strCache>
                <c:ptCount val="8"/>
                <c:pt idx="0">
                  <c:v>&lt;30</c:v>
                </c:pt>
                <c:pt idx="1">
                  <c:v>30-40</c:v>
                </c:pt>
                <c:pt idx="2">
                  <c:v>40-50</c:v>
                </c:pt>
                <c:pt idx="3">
                  <c:v>50-60</c:v>
                </c:pt>
                <c:pt idx="4">
                  <c:v>60-70</c:v>
                </c:pt>
                <c:pt idx="5">
                  <c:v>70-80</c:v>
                </c:pt>
                <c:pt idx="6">
                  <c:v>80-90</c:v>
                </c:pt>
                <c:pt idx="7">
                  <c:v>&gt;90</c:v>
                </c:pt>
              </c:strCache>
            </c:strRef>
          </c:cat>
          <c:val>
            <c:numRef>
              <c:f>cocaine_HCl!$AD$3:$AD$10</c:f>
              <c:numCache>
                <c:formatCode>General</c:formatCode>
                <c:ptCount val="8"/>
                <c:pt idx="0">
                  <c:v>1</c:v>
                </c:pt>
                <c:pt idx="1">
                  <c:v>5</c:v>
                </c:pt>
                <c:pt idx="2">
                  <c:v>14</c:v>
                </c:pt>
                <c:pt idx="3">
                  <c:v>51</c:v>
                </c:pt>
                <c:pt idx="4">
                  <c:v>116</c:v>
                </c:pt>
                <c:pt idx="5">
                  <c:v>128</c:v>
                </c:pt>
                <c:pt idx="6">
                  <c:v>48</c:v>
                </c:pt>
                <c:pt idx="7">
                  <c:v>25</c:v>
                </c:pt>
              </c:numCache>
            </c:numRef>
          </c:val>
          <c:extLst>
            <c:ext xmlns:c15="http://schemas.microsoft.com/office/drawing/2012/chart" uri="{02D57815-91ED-43cb-92C2-25804820EDAC}">
              <c15:datalabelsRange>
                <c15:f>cocaine_HCl!$AE$3:$AE$10</c15:f>
                <c15:dlblRangeCache>
                  <c:ptCount val="8"/>
                  <c:pt idx="0">
                    <c:v>0.3</c:v>
                  </c:pt>
                  <c:pt idx="1">
                    <c:v>1</c:v>
                  </c:pt>
                  <c:pt idx="2">
                    <c:v>4</c:v>
                  </c:pt>
                  <c:pt idx="3">
                    <c:v>13</c:v>
                  </c:pt>
                  <c:pt idx="4">
                    <c:v>30</c:v>
                  </c:pt>
                  <c:pt idx="5">
                    <c:v>33</c:v>
                  </c:pt>
                  <c:pt idx="6">
                    <c:v>12</c:v>
                  </c:pt>
                  <c:pt idx="7">
                    <c:v>6</c:v>
                  </c:pt>
                </c15:dlblRangeCache>
              </c15:datalabelsRange>
            </c:ext>
            <c:ext xmlns:c16="http://schemas.microsoft.com/office/drawing/2014/chart" uri="{C3380CC4-5D6E-409C-BE32-E72D297353CC}">
              <c16:uniqueId val="{00000008-C419-3E4D-A130-B54AACFCEB08}"/>
            </c:ext>
          </c:extLst>
        </c:ser>
        <c:dLbls>
          <c:dLblPos val="outEnd"/>
          <c:showLegendKey val="0"/>
          <c:showVal val="1"/>
          <c:showCatName val="0"/>
          <c:showSerName val="0"/>
          <c:showPercent val="0"/>
          <c:showBubbleSize val="0"/>
        </c:dLbls>
        <c:gapWidth val="219"/>
        <c:overlap val="-27"/>
        <c:axId val="1450824463"/>
        <c:axId val="1450310415"/>
      </c:barChart>
      <c:catAx>
        <c:axId val="145082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310415"/>
        <c:crosses val="autoZero"/>
        <c:auto val="1"/>
        <c:lblAlgn val="ctr"/>
        <c:lblOffset val="100"/>
        <c:noMultiLvlLbl val="0"/>
      </c:catAx>
      <c:valAx>
        <c:axId val="1450310415"/>
        <c:scaling>
          <c:orientation val="minMax"/>
          <c:max val="14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échantillons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824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Moyenne pureté cocaïne à l'ECS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lineChart>
        <c:grouping val="standard"/>
        <c:varyColors val="0"/>
        <c:ser>
          <c:idx val="0"/>
          <c:order val="0"/>
          <c:tx>
            <c:strRef>
              <c:f>cocaine_HCl!$I$47</c:f>
              <c:strCache>
                <c:ptCount val="1"/>
                <c:pt idx="0">
                  <c:v>Moyenne</c:v>
                </c:pt>
              </c:strCache>
            </c:strRef>
          </c:tx>
          <c:spPr>
            <a:ln w="28575" cap="rnd">
              <a:solidFill>
                <a:schemeClr val="accent1">
                  <a:lumMod val="40000"/>
                  <a:lumOff val="60000"/>
                </a:schemeClr>
              </a:solidFill>
              <a:round/>
            </a:ln>
            <a:effectLst/>
          </c:spPr>
          <c:marker>
            <c:symbol val="circle"/>
            <c:size val="5"/>
            <c:spPr>
              <a:solidFill>
                <a:schemeClr val="accent5">
                  <a:lumMod val="20000"/>
                  <a:lumOff val="80000"/>
                </a:schemeClr>
              </a:solidFill>
              <a:ln w="9525">
                <a:solidFill>
                  <a:schemeClr val="bg1">
                    <a:lumMod val="50000"/>
                  </a:schemeClr>
                </a:solidFill>
              </a:ln>
              <a:effectLst/>
            </c:spPr>
          </c:marker>
          <c:dLbls>
            <c:dLbl>
              <c:idx val="0"/>
              <c:tx>
                <c:rich>
                  <a:bodyPr/>
                  <a:lstStyle/>
                  <a:p>
                    <a:fld id="{30B1AF2C-DA82-4E4B-8F1F-2B0D65FD15B3}"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4A7-8A48-A983-D53CE372D1C3}"/>
                </c:ext>
              </c:extLst>
            </c:dLbl>
            <c:dLbl>
              <c:idx val="1"/>
              <c:layout>
                <c:manualLayout>
                  <c:x val="-2.4991866536435859E-2"/>
                  <c:y val="-3.0454995149953725E-2"/>
                </c:manualLayout>
              </c:layout>
              <c:tx>
                <c:rich>
                  <a:bodyPr/>
                  <a:lstStyle/>
                  <a:p>
                    <a:fld id="{F00FDE94-9761-4941-8B7A-90ED6675406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4A7-8A48-A983-D53CE372D1C3}"/>
                </c:ext>
              </c:extLst>
            </c:dLbl>
            <c:dLbl>
              <c:idx val="2"/>
              <c:layout>
                <c:manualLayout>
                  <c:x val="-1.1363061179921871E-2"/>
                  <c:y val="-1.9629759907079134E-2"/>
                </c:manualLayout>
              </c:layout>
              <c:tx>
                <c:rich>
                  <a:bodyPr/>
                  <a:lstStyle/>
                  <a:p>
                    <a:fld id="{2916420B-3468-1746-B9E7-ABC80F5FF9C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4A7-8A48-A983-D53CE372D1C3}"/>
                </c:ext>
              </c:extLst>
            </c:dLbl>
            <c:dLbl>
              <c:idx val="3"/>
              <c:layout>
                <c:manualLayout>
                  <c:x val="-4.3163607011787841E-2"/>
                  <c:y val="1.2845945821544368E-2"/>
                </c:manualLayout>
              </c:layout>
              <c:tx>
                <c:rich>
                  <a:bodyPr/>
                  <a:lstStyle/>
                  <a:p>
                    <a:fld id="{98C3EBD6-5009-B34C-A341-B7317075AAA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A7-8A48-A983-D53CE372D1C3}"/>
                </c:ext>
              </c:extLst>
            </c:dLbl>
            <c:dLbl>
              <c:idx val="4"/>
              <c:layout>
                <c:manualLayout>
                  <c:x val="-4.3163607011787841E-2"/>
                  <c:y val="2.0062769316794116E-2"/>
                </c:manualLayout>
              </c:layout>
              <c:tx>
                <c:rich>
                  <a:bodyPr/>
                  <a:lstStyle/>
                  <a:p>
                    <a:fld id="{D3659FEA-3900-BF4F-A925-BD62B3C9980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4A7-8A48-A983-D53CE372D1C3}"/>
                </c:ext>
              </c:extLst>
            </c:dLbl>
            <c:dLbl>
              <c:idx val="5"/>
              <c:layout>
                <c:manualLayout>
                  <c:x val="-2.4991866536435859E-2"/>
                  <c:y val="3.4496416307293346E-2"/>
                </c:manualLayout>
              </c:layout>
              <c:tx>
                <c:rich>
                  <a:bodyPr/>
                  <a:lstStyle/>
                  <a:p>
                    <a:fld id="{C371F43A-E112-DB44-8F67-5546D4E1FBB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4A7-8A48-A983-D53CE372D1C3}"/>
                </c:ext>
              </c:extLst>
            </c:dLbl>
            <c:dLbl>
              <c:idx val="6"/>
              <c:layout>
                <c:manualLayout>
                  <c:x val="-2.0448931417597863E-2"/>
                  <c:y val="-3.4063406897578502E-2"/>
                </c:manualLayout>
              </c:layout>
              <c:tx>
                <c:rich>
                  <a:bodyPr/>
                  <a:lstStyle/>
                  <a:p>
                    <a:fld id="{566B3A5F-BC2F-8B40-90A5-A7BE51FD45D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A7-8A48-A983-D53CE372D1C3}"/>
                </c:ext>
              </c:extLst>
            </c:dLbl>
            <c:dLbl>
              <c:idx val="7"/>
              <c:layout>
                <c:manualLayout>
                  <c:x val="-1.363452873934087E-2"/>
                  <c:y val="3.0888004559668641E-2"/>
                </c:manualLayout>
              </c:layout>
              <c:tx>
                <c:rich>
                  <a:bodyPr/>
                  <a:lstStyle/>
                  <a:p>
                    <a:fld id="{659C3E61-8A0A-824D-99BB-6C0C9FF6CF5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4A7-8A48-A983-D53CE372D1C3}"/>
                </c:ext>
              </c:extLst>
            </c:dLbl>
            <c:dLbl>
              <c:idx val="8"/>
              <c:layout>
                <c:manualLayout>
                  <c:x val="-3.6349204333530852E-2"/>
                  <c:y val="-3.4063406897578564E-2"/>
                </c:manualLayout>
              </c:layout>
              <c:tx>
                <c:rich>
                  <a:bodyPr/>
                  <a:lstStyle/>
                  <a:p>
                    <a:fld id="{53B8FE3A-4C8C-4741-8E8A-FB938034036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4A7-8A48-A983-D53CE372D1C3}"/>
                </c:ext>
              </c:extLst>
            </c:dLbl>
            <c:dLbl>
              <c:idx val="9"/>
              <c:layout>
                <c:manualLayout>
                  <c:x val="-3.6349204333530852E-2"/>
                  <c:y val="-3.4063406897578502E-2"/>
                </c:manualLayout>
              </c:layout>
              <c:tx>
                <c:rich>
                  <a:bodyPr/>
                  <a:lstStyle/>
                  <a:p>
                    <a:fld id="{2214767F-5F41-5B44-B0E9-9FF6CFEF270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4A7-8A48-A983-D53CE372D1C3}"/>
                </c:ext>
              </c:extLst>
            </c:dLbl>
            <c:dLbl>
              <c:idx val="10"/>
              <c:layout>
                <c:manualLayout>
                  <c:x val="-2.3861856139553286E-2"/>
                  <c:y val="-2.6846583402328816E-2"/>
                </c:manualLayout>
              </c:layout>
              <c:tx>
                <c:rich>
                  <a:bodyPr/>
                  <a:lstStyle/>
                  <a:p>
                    <a:fld id="{88B536E4-DCF4-6C4E-BDBE-9549C75D76E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4A7-8A48-A983-D53CE372D1C3}"/>
                </c:ext>
              </c:extLst>
            </c:dLbl>
            <c:dLbl>
              <c:idx val="11"/>
              <c:layout>
                <c:manualLayout>
                  <c:x val="-2.4991866536435859E-2"/>
                  <c:y val="3.4496416307293484E-2"/>
                </c:manualLayout>
              </c:layout>
              <c:tx>
                <c:rich>
                  <a:bodyPr/>
                  <a:lstStyle/>
                  <a:p>
                    <a:fld id="{FB062654-C101-7546-91CB-5CE83179483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4A7-8A48-A983-D53CE372D1C3}"/>
                </c:ext>
              </c:extLst>
            </c:dLbl>
            <c:dLbl>
              <c:idx val="12"/>
              <c:layout>
                <c:manualLayout>
                  <c:x val="-2.4991866536435859E-2"/>
                  <c:y val="-3.0454995149953659E-2"/>
                </c:manualLayout>
              </c:layout>
              <c:tx>
                <c:rich>
                  <a:bodyPr/>
                  <a:lstStyle/>
                  <a:p>
                    <a:fld id="{CAC51440-523C-5740-9B20-932D73DFB32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A4A7-8A48-A983-D53CE372D1C3}"/>
                </c:ext>
              </c:extLst>
            </c:dLbl>
            <c:dLbl>
              <c:idx val="13"/>
              <c:layout>
                <c:manualLayout>
                  <c:x val="-3.5219193936648317E-2"/>
                  <c:y val="3.810482805491832E-2"/>
                </c:manualLayout>
              </c:layout>
              <c:tx>
                <c:rich>
                  <a:bodyPr/>
                  <a:lstStyle/>
                  <a:p>
                    <a:fld id="{47D1C914-2693-D442-9122-7D3164B9935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4A7-8A48-A983-D53CE372D1C3}"/>
                </c:ext>
              </c:extLst>
            </c:dLbl>
            <c:dLbl>
              <c:idx val="14"/>
              <c:layout>
                <c:manualLayout>
                  <c:x val="-2.0448931417597946E-2"/>
                  <c:y val="3.8104828054918188E-2"/>
                </c:manualLayout>
              </c:layout>
              <c:tx>
                <c:rich>
                  <a:bodyPr/>
                  <a:lstStyle/>
                  <a:p>
                    <a:fld id="{BD8CF773-8686-C245-8EC3-8D86B4E2E2B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4A7-8A48-A983-D53CE372D1C3}"/>
                </c:ext>
              </c:extLst>
            </c:dLbl>
            <c:dLbl>
              <c:idx val="15"/>
              <c:layout>
                <c:manualLayout>
                  <c:x val="-2.6133323698972324E-2"/>
                  <c:y val="3.810482805491832E-2"/>
                </c:manualLayout>
              </c:layout>
              <c:tx>
                <c:rich>
                  <a:bodyPr/>
                  <a:lstStyle/>
                  <a:p>
                    <a:fld id="{ACDDE1D4-3D23-CB4A-84A2-0C9C1383968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A4A7-8A48-A983-D53CE372D1C3}"/>
                </c:ext>
              </c:extLst>
            </c:dLbl>
            <c:dLbl>
              <c:idx val="16"/>
              <c:layout>
                <c:manualLayout>
                  <c:x val="-3.4077736774111848E-2"/>
                  <c:y val="-3.7671818645203338E-2"/>
                </c:manualLayout>
              </c:layout>
              <c:tx>
                <c:rich>
                  <a:bodyPr/>
                  <a:lstStyle/>
                  <a:p>
                    <a:fld id="{E19C0750-201A-284A-B91A-86D87CF4C58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A4A7-8A48-A983-D53CE372D1C3}"/>
                </c:ext>
              </c:extLst>
            </c:dLbl>
            <c:dLbl>
              <c:idx val="17"/>
              <c:layout>
                <c:manualLayout>
                  <c:x val="-1.590599629875987E-2"/>
                  <c:y val="-2.6846583402328816E-2"/>
                </c:manualLayout>
              </c:layout>
              <c:tx>
                <c:rich>
                  <a:bodyPr/>
                  <a:lstStyle/>
                  <a:p>
                    <a:fld id="{1DF43608-2A8C-3E4F-9D52-6064F5C0C44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A4A7-8A48-A983-D53CE372D1C3}"/>
                </c:ext>
              </c:extLst>
            </c:dLbl>
            <c:dLbl>
              <c:idx val="18"/>
              <c:layout>
                <c:manualLayout>
                  <c:x val="-2.9534801655273855E-2"/>
                  <c:y val="3.0888004559668641E-2"/>
                </c:manualLayout>
              </c:layout>
              <c:tx>
                <c:rich>
                  <a:bodyPr/>
                  <a:lstStyle/>
                  <a:p>
                    <a:fld id="{3DD319A4-FC72-344A-A617-497AFE1F403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4A7-8A48-A983-D53CE372D1C3}"/>
                </c:ext>
              </c:extLst>
            </c:dLbl>
            <c:dLbl>
              <c:idx val="19"/>
              <c:layout>
                <c:manualLayout>
                  <c:x val="-3.0676258817810238E-2"/>
                  <c:y val="-3.0454995149953725E-2"/>
                </c:manualLayout>
              </c:layout>
              <c:tx>
                <c:rich>
                  <a:bodyPr/>
                  <a:lstStyle/>
                  <a:p>
                    <a:fld id="{AEFCB576-C871-414D-9FB3-0DF1625B44F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A4A7-8A48-A983-D53CE372D1C3}"/>
                </c:ext>
              </c:extLst>
            </c:dLbl>
            <c:dLbl>
              <c:idx val="20"/>
              <c:layout>
                <c:manualLayout>
                  <c:x val="-2.7263334095854859E-2"/>
                  <c:y val="3.4496416307293484E-2"/>
                </c:manualLayout>
              </c:layout>
              <c:tx>
                <c:rich>
                  <a:bodyPr/>
                  <a:lstStyle/>
                  <a:p>
                    <a:fld id="{0EBCC000-3CE9-924E-A4D3-BD031BED3DC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A4A7-8A48-A983-D53CE372D1C3}"/>
                </c:ext>
              </c:extLst>
            </c:dLbl>
            <c:dLbl>
              <c:idx val="21"/>
              <c:layout>
                <c:manualLayout>
                  <c:x val="-4.6576531733743307E-2"/>
                  <c:y val="-3.0454995149953659E-2"/>
                </c:manualLayout>
              </c:layout>
              <c:tx>
                <c:rich>
                  <a:bodyPr/>
                  <a:lstStyle/>
                  <a:p>
                    <a:fld id="{AA9AD515-58A8-024B-8A7E-07C2FBA8D5D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A4A7-8A48-A983-D53CE372D1C3}"/>
                </c:ext>
              </c:extLst>
            </c:dLbl>
            <c:dLbl>
              <c:idx val="22"/>
              <c:layout>
                <c:manualLayout>
                  <c:x val="-3.749066149606723E-2"/>
                  <c:y val="-3.0454995149953659E-2"/>
                </c:manualLayout>
              </c:layout>
              <c:tx>
                <c:rich>
                  <a:bodyPr/>
                  <a:lstStyle/>
                  <a:p>
                    <a:fld id="{73B08495-DD1F-9E4C-8863-E297DC12F63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A4A7-8A48-A983-D53CE372D1C3}"/>
                </c:ext>
              </c:extLst>
            </c:dLbl>
            <c:dLbl>
              <c:idx val="23"/>
              <c:layout>
                <c:manualLayout>
                  <c:x val="-2.7263334095854859E-2"/>
                  <c:y val="3.810482805491832E-2"/>
                </c:manualLayout>
              </c:layout>
              <c:tx>
                <c:rich>
                  <a:bodyPr/>
                  <a:lstStyle/>
                  <a:p>
                    <a:fld id="{1B4E1ACF-7878-6646-B1D5-9FD67CEF9AF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A4A7-8A48-A983-D53CE372D1C3}"/>
                </c:ext>
              </c:extLst>
            </c:dLbl>
            <c:dLbl>
              <c:idx val="24"/>
              <c:layout>
                <c:manualLayout>
                  <c:x val="-2.6133323698972324E-2"/>
                  <c:y val="-3.0454995149953659E-2"/>
                </c:manualLayout>
              </c:layout>
              <c:tx>
                <c:rich>
                  <a:bodyPr/>
                  <a:lstStyle/>
                  <a:p>
                    <a:fld id="{FFBEBB9D-F079-E348-AEAB-1F48094FBB5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A4A7-8A48-A983-D53CE372D1C3}"/>
                </c:ext>
              </c:extLst>
            </c:dLbl>
            <c:dLbl>
              <c:idx val="25"/>
              <c:layout>
                <c:manualLayout>
                  <c:x val="-2.7263334095854859E-2"/>
                  <c:y val="3.4496416307293484E-2"/>
                </c:manualLayout>
              </c:layout>
              <c:tx>
                <c:rich>
                  <a:bodyPr/>
                  <a:lstStyle/>
                  <a:p>
                    <a:fld id="{605E26C7-85EE-5648-A2B7-DC5015646C8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A4A7-8A48-A983-D53CE372D1C3}"/>
                </c:ext>
              </c:extLst>
            </c:dLbl>
            <c:dLbl>
              <c:idx val="26"/>
              <c:layout>
                <c:manualLayout>
                  <c:x val="-2.0448931417597863E-2"/>
                  <c:y val="-4.1280230392828181E-2"/>
                </c:manualLayout>
              </c:layout>
              <c:tx>
                <c:rich>
                  <a:bodyPr/>
                  <a:lstStyle/>
                  <a:p>
                    <a:fld id="{545E4071-50BB-194D-A9CA-77F33C67C28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A4A7-8A48-A983-D53CE372D1C3}"/>
                </c:ext>
              </c:extLst>
            </c:dLbl>
            <c:dLbl>
              <c:idx val="27"/>
              <c:layout>
                <c:manualLayout>
                  <c:x val="-3.0676258817810321E-2"/>
                  <c:y val="4.1713239802543163E-2"/>
                </c:manualLayout>
              </c:layout>
              <c:tx>
                <c:rich>
                  <a:bodyPr/>
                  <a:lstStyle/>
                  <a:p>
                    <a:fld id="{4F0E8DA5-9C7C-3046-8302-72A75BB6348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A4A7-8A48-A983-D53CE372D1C3}"/>
                </c:ext>
              </c:extLst>
            </c:dLbl>
            <c:dLbl>
              <c:idx val="28"/>
              <c:layout>
                <c:manualLayout>
                  <c:x val="-2.2771909422459637E-3"/>
                  <c:y val="-5.1961129165797714E-3"/>
                </c:manualLayout>
              </c:layout>
              <c:tx>
                <c:rich>
                  <a:bodyPr/>
                  <a:lstStyle/>
                  <a:p>
                    <a:fld id="{2EC876EB-87D9-3847-AF4E-30DE9718A79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A4A7-8A48-A983-D53CE372D1C3}"/>
                </c:ext>
              </c:extLst>
            </c:dLbl>
            <c:dLbl>
              <c:idx val="29"/>
              <c:layout>
                <c:manualLayout>
                  <c:x val="-3.6349204333530935E-2"/>
                  <c:y val="-3.4063406897578502E-2"/>
                </c:manualLayout>
              </c:layout>
              <c:tx>
                <c:rich>
                  <a:bodyPr/>
                  <a:lstStyle/>
                  <a:p>
                    <a:fld id="{E0BFBCC8-3CB6-3A4E-A4E0-B4371D722F2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A4A7-8A48-A983-D53CE372D1C3}"/>
                </c:ext>
              </c:extLst>
            </c:dLbl>
            <c:dLbl>
              <c:idx val="30"/>
              <c:layout>
                <c:manualLayout>
                  <c:x val="-2.4991866536435859E-2"/>
                  <c:y val="3.0888004559668572E-2"/>
                </c:manualLayout>
              </c:layout>
              <c:tx>
                <c:rich>
                  <a:bodyPr/>
                  <a:lstStyle/>
                  <a:p>
                    <a:fld id="{D30B676A-9B92-DD47-B3ED-6E271E5AADF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A4A7-8A48-A983-D53CE372D1C3}"/>
                </c:ext>
              </c:extLst>
            </c:dLbl>
            <c:dLbl>
              <c:idx val="31"/>
              <c:layout>
                <c:manualLayout>
                  <c:x val="-1.590599629875987E-2"/>
                  <c:y val="2.0062769316794116E-2"/>
                </c:manualLayout>
              </c:layout>
              <c:tx>
                <c:rich>
                  <a:bodyPr/>
                  <a:lstStyle/>
                  <a:p>
                    <a:fld id="{C1CA9C75-BFE9-7E4E-907A-B9DF173879E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A4A7-8A48-A983-D53CE372D1C3}"/>
                </c:ext>
              </c:extLst>
            </c:dLbl>
            <c:dLbl>
              <c:idx val="32"/>
              <c:layout>
                <c:manualLayout>
                  <c:x val="-2.9534801655273772E-2"/>
                  <c:y val="-3.0454995149953659E-2"/>
                </c:manualLayout>
              </c:layout>
              <c:tx>
                <c:rich>
                  <a:bodyPr/>
                  <a:lstStyle/>
                  <a:p>
                    <a:fld id="{13B34215-0A22-3748-B11A-02F5B7B3042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A4A7-8A48-A983-D53CE372D1C3}"/>
                </c:ext>
              </c:extLst>
            </c:dLbl>
            <c:dLbl>
              <c:idx val="33"/>
              <c:layout>
                <c:manualLayout>
                  <c:x val="-2.2720398977016863E-2"/>
                  <c:y val="3.4496416307293484E-2"/>
                </c:manualLayout>
              </c:layout>
              <c:tx>
                <c:rich>
                  <a:bodyPr/>
                  <a:lstStyle/>
                  <a:p>
                    <a:fld id="{14F48A76-BB86-C842-90E8-D6C4C568407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A4A7-8A48-A983-D53CE372D1C3}"/>
                </c:ext>
              </c:extLst>
            </c:dLbl>
            <c:dLbl>
              <c:idx val="34"/>
              <c:layout>
                <c:manualLayout>
                  <c:x val="-2.7263334095854859E-2"/>
                  <c:y val="-3.0454995149953659E-2"/>
                </c:manualLayout>
              </c:layout>
              <c:tx>
                <c:rich>
                  <a:bodyPr/>
                  <a:lstStyle/>
                  <a:p>
                    <a:fld id="{992DD7A4-1BAE-A54F-8ACF-6C6EF519962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A4A7-8A48-A983-D53CE372D1C3}"/>
                </c:ext>
              </c:extLst>
            </c:dLbl>
            <c:dLbl>
              <c:idx val="35"/>
              <c:layout>
                <c:manualLayout>
                  <c:x val="-2.0448931417597863E-2"/>
                  <c:y val="3.0888004559668641E-2"/>
                </c:manualLayout>
              </c:layout>
              <c:tx>
                <c:rich>
                  <a:bodyPr/>
                  <a:lstStyle/>
                  <a:p>
                    <a:fld id="{CC144FAC-3117-FB45-8798-32AA5F395EB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A4A7-8A48-A983-D53CE372D1C3}"/>
                </c:ext>
              </c:extLst>
            </c:dLbl>
            <c:dLbl>
              <c:idx val="36"/>
              <c:layout>
                <c:manualLayout>
                  <c:x val="-2.4991866536435859E-2"/>
                  <c:y val="-3.4063406897578502E-2"/>
                </c:manualLayout>
              </c:layout>
              <c:tx>
                <c:rich>
                  <a:bodyPr/>
                  <a:lstStyle/>
                  <a:p>
                    <a:fld id="{2C09FBFF-4E3E-DD4D-886E-F6A397231E4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A4A7-8A48-A983-D53CE372D1C3}"/>
                </c:ext>
              </c:extLst>
            </c:dLbl>
            <c:dLbl>
              <c:idx val="37"/>
              <c:layout>
                <c:manualLayout>
                  <c:x val="-9.091593620502875E-3"/>
                  <c:y val="2.0062769316793985E-2"/>
                </c:manualLayout>
              </c:layout>
              <c:tx>
                <c:rich>
                  <a:bodyPr/>
                  <a:lstStyle/>
                  <a:p>
                    <a:fld id="{6272685D-6F66-7643-AB75-4FDF06A6C63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A4A7-8A48-A983-D53CE372D1C3}"/>
                </c:ext>
              </c:extLst>
            </c:dLbl>
            <c:dLbl>
              <c:idx val="38"/>
              <c:layout>
                <c:manualLayout>
                  <c:x val="-3.8620671892949848E-2"/>
                  <c:y val="-2.3238171654703977E-2"/>
                </c:manualLayout>
              </c:layout>
              <c:tx>
                <c:rich>
                  <a:bodyPr/>
                  <a:lstStyle/>
                  <a:p>
                    <a:fld id="{1DEE62C2-E42D-F94D-B2FD-BA06E5D2C0A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A4A7-8A48-A983-D53CE372D1C3}"/>
                </c:ext>
              </c:extLst>
            </c:dLbl>
            <c:dLbl>
              <c:idx val="39"/>
              <c:layout>
                <c:manualLayout>
                  <c:x val="-3.6349204333530852E-2"/>
                  <c:y val="-2.6846583402328816E-2"/>
                </c:manualLayout>
              </c:layout>
              <c:tx>
                <c:rich>
                  <a:bodyPr/>
                  <a:lstStyle/>
                  <a:p>
                    <a:fld id="{33A31B77-2BD2-8142-A5FA-A95CB7F14CA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A4A7-8A48-A983-D53CE372D1C3}"/>
                </c:ext>
              </c:extLst>
            </c:dLbl>
            <c:dLbl>
              <c:idx val="40"/>
              <c:layout>
                <c:manualLayout>
                  <c:x val="-2.9534801655273855E-2"/>
                  <c:y val="-3.0454995149953659E-2"/>
                </c:manualLayout>
              </c:layout>
              <c:tx>
                <c:rich>
                  <a:bodyPr/>
                  <a:lstStyle/>
                  <a:p>
                    <a:fld id="{D8B2DE75-5FFF-7F43-96ED-3AA0C036DC4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A4A7-8A48-A983-D53CE372D1C3}"/>
                </c:ext>
              </c:extLst>
            </c:dLbl>
            <c:dLbl>
              <c:idx val="41"/>
              <c:layout>
                <c:manualLayout>
                  <c:x val="-2.9534801655273855E-2"/>
                  <c:y val="3.0888004559668641E-2"/>
                </c:manualLayout>
              </c:layout>
              <c:tx>
                <c:rich>
                  <a:bodyPr/>
                  <a:lstStyle/>
                  <a:p>
                    <a:fld id="{92DD97E4-A24F-5E43-94A2-28C3EAA9D5D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A4A7-8A48-A983-D53CE372D1C3}"/>
                </c:ext>
              </c:extLst>
            </c:dLbl>
            <c:dLbl>
              <c:idx val="42"/>
              <c:layout>
                <c:manualLayout>
                  <c:x val="-1.8177463858178866E-2"/>
                  <c:y val="3.4496416307293547E-2"/>
                </c:manualLayout>
              </c:layout>
              <c:tx>
                <c:rich>
                  <a:bodyPr/>
                  <a:lstStyle/>
                  <a:p>
                    <a:fld id="{F7A99A13-A401-BD4C-BD28-1020DBD126B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A4A7-8A48-A983-D53CE372D1C3}"/>
                </c:ext>
              </c:extLst>
            </c:dLbl>
            <c:dLbl>
              <c:idx val="43"/>
              <c:layout>
                <c:manualLayout>
                  <c:x val="-4.0892139452368845E-2"/>
                  <c:y val="-2.6846583402328816E-2"/>
                </c:manualLayout>
              </c:layout>
              <c:tx>
                <c:rich>
                  <a:bodyPr/>
                  <a:lstStyle/>
                  <a:p>
                    <a:fld id="{F0D50053-2585-D442-A969-51C5A51CCC0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A4A7-8A48-A983-D53CE372D1C3}"/>
                </c:ext>
              </c:extLst>
            </c:dLbl>
            <c:dLbl>
              <c:idx val="44"/>
              <c:layout>
                <c:manualLayout>
                  <c:x val="-2.7263334095854859E-2"/>
                  <c:y val="-3.4063406897578564E-2"/>
                </c:manualLayout>
              </c:layout>
              <c:tx>
                <c:rich>
                  <a:bodyPr/>
                  <a:lstStyle/>
                  <a:p>
                    <a:fld id="{5F5788B3-0C5B-314D-BDC7-31BDC91FB0B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A4A7-8A48-A983-D53CE372D1C3}"/>
                </c:ext>
              </c:extLst>
            </c:dLbl>
            <c:dLbl>
              <c:idx val="45"/>
              <c:layout>
                <c:manualLayout>
                  <c:x val="-2.9534801655274022E-2"/>
                  <c:y val="3.4496416307293547E-2"/>
                </c:manualLayout>
              </c:layout>
              <c:tx>
                <c:rich>
                  <a:bodyPr/>
                  <a:lstStyle/>
                  <a:p>
                    <a:fld id="{996F65A6-C707-364F-9D29-417154389A7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A4A7-8A48-A983-D53CE372D1C3}"/>
                </c:ext>
              </c:extLst>
            </c:dLbl>
            <c:dLbl>
              <c:idx val="46"/>
              <c:layout>
                <c:manualLayout>
                  <c:x val="-2.4991866536435859E-2"/>
                  <c:y val="-3.0454995149953725E-2"/>
                </c:manualLayout>
              </c:layout>
              <c:tx>
                <c:rich>
                  <a:bodyPr/>
                  <a:lstStyle/>
                  <a:p>
                    <a:fld id="{1C5080DA-FB35-5F40-A811-27288F2AF6C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A4A7-8A48-A983-D53CE372D1C3}"/>
                </c:ext>
              </c:extLst>
            </c:dLbl>
            <c:dLbl>
              <c:idx val="47"/>
              <c:layout>
                <c:manualLayout>
                  <c:x val="-2.4991866536436026E-2"/>
                  <c:y val="3.4496416307293484E-2"/>
                </c:manualLayout>
              </c:layout>
              <c:tx>
                <c:rich>
                  <a:bodyPr/>
                  <a:lstStyle/>
                  <a:p>
                    <a:fld id="{DB3F65CD-330B-4741-B906-356B34CB10F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A4A7-8A48-A983-D53CE372D1C3}"/>
                </c:ext>
              </c:extLst>
            </c:dLbl>
            <c:dLbl>
              <c:idx val="48"/>
              <c:layout>
                <c:manualLayout>
                  <c:x val="-2.4991866536435859E-2"/>
                  <c:y val="-3.4063406897578502E-2"/>
                </c:manualLayout>
              </c:layout>
              <c:tx>
                <c:rich>
                  <a:bodyPr/>
                  <a:lstStyle/>
                  <a:p>
                    <a:fld id="{297A3068-2B04-884E-B773-DBB8D895934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A4A7-8A48-A983-D53CE372D1C3}"/>
                </c:ext>
              </c:extLst>
            </c:dLbl>
            <c:dLbl>
              <c:idx val="49"/>
              <c:layout>
                <c:manualLayout>
                  <c:x val="-2.4991866536435859E-2"/>
                  <c:y val="3.4496416307293415E-2"/>
                </c:manualLayout>
              </c:layout>
              <c:tx>
                <c:rich>
                  <a:bodyPr/>
                  <a:lstStyle/>
                  <a:p>
                    <a:fld id="{89BFDA6B-0562-7A49-B6F1-F5ECE1A827D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A4A7-8A48-A983-D53CE372D1C3}"/>
                </c:ext>
              </c:extLst>
            </c:dLbl>
            <c:dLbl>
              <c:idx val="50"/>
              <c:layout>
                <c:manualLayout>
                  <c:x val="-2.4991866536435859E-2"/>
                  <c:y val="-3.4063406897578502E-2"/>
                </c:manualLayout>
              </c:layout>
              <c:tx>
                <c:rich>
                  <a:bodyPr/>
                  <a:lstStyle/>
                  <a:p>
                    <a:fld id="{8FE6AE05-076E-A349-86DB-CAA562179E5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A4A7-8A48-A983-D53CE372D1C3}"/>
                </c:ext>
              </c:extLst>
            </c:dLbl>
            <c:dLbl>
              <c:idx val="51"/>
              <c:layout>
                <c:manualLayout>
                  <c:x val="-1.8101275381895186E-2"/>
                  <c:y val="3.8512444207181279E-2"/>
                </c:manualLayout>
              </c:layout>
              <c:tx>
                <c:rich>
                  <a:bodyPr/>
                  <a:lstStyle/>
                  <a:p>
                    <a:fld id="{C3CE2429-0D4F-6C49-88FA-D3C1E7478F0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5A8-BD41-BF97-1279DC5E2503}"/>
                </c:ext>
              </c:extLst>
            </c:dLbl>
            <c:dLbl>
              <c:idx val="52"/>
              <c:tx>
                <c:rich>
                  <a:bodyPr/>
                  <a:lstStyle/>
                  <a:p>
                    <a:fld id="{C6B2E59E-CEBA-BF40-AB02-7B137B98C4A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5A8-BD41-BF97-1279DC5E2503}"/>
                </c:ext>
              </c:extLst>
            </c:dLbl>
            <c:dLbl>
              <c:idx val="53"/>
              <c:layout>
                <c:manualLayout>
                  <c:x val="-3.8503607993285262E-2"/>
                  <c:y val="4.5276113346464947E-2"/>
                </c:manualLayout>
              </c:layout>
              <c:tx>
                <c:rich>
                  <a:bodyPr/>
                  <a:lstStyle/>
                  <a:p>
                    <a:fld id="{C918A1C7-C043-E64D-B4A6-5735173F507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2AB-9E4B-9F10-5A67CF3539A6}"/>
                </c:ext>
              </c:extLst>
            </c:dLbl>
            <c:dLbl>
              <c:idx val="54"/>
              <c:layout>
                <c:manualLayout>
                  <c:x val="-1.589193228720202E-2"/>
                  <c:y val="4.1880055398106138E-2"/>
                </c:manualLayout>
              </c:layout>
              <c:tx>
                <c:rich>
                  <a:bodyPr/>
                  <a:lstStyle/>
                  <a:p>
                    <a:fld id="{A41B8332-7003-5E43-B095-BB02340C6AE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587-0B41-879F-D178A06C0B85}"/>
                </c:ext>
              </c:extLst>
            </c:dLbl>
            <c:dLbl>
              <c:idx val="55"/>
              <c:tx>
                <c:rich>
                  <a:bodyPr/>
                  <a:lstStyle/>
                  <a:p>
                    <a:fld id="{9B438BFD-E3BF-6444-BE08-5BBDA4A88F7C}"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587-0B41-879F-D178A06C0B85}"/>
                </c:ext>
              </c:extLst>
            </c:dLbl>
            <c:dLbl>
              <c:idx val="56"/>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587-0B41-879F-D178A06C0B85}"/>
                </c:ext>
              </c:extLst>
            </c:dLbl>
            <c:dLbl>
              <c:idx val="57"/>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A587-0B41-879F-D178A06C0B85}"/>
                </c:ext>
              </c:extLst>
            </c:dLbl>
            <c:dLbl>
              <c:idx val="58"/>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A587-0B41-879F-D178A06C0B85}"/>
                </c:ext>
              </c:extLst>
            </c:dLbl>
            <c:dLbl>
              <c:idx val="59"/>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A587-0B41-879F-D178A06C0B85}"/>
                </c:ext>
              </c:extLst>
            </c:dLbl>
            <c:dLbl>
              <c:idx val="60"/>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A587-0B41-879F-D178A06C0B85}"/>
                </c:ext>
              </c:extLst>
            </c:dLbl>
            <c:dLbl>
              <c:idx val="61"/>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A587-0B41-879F-D178A06C0B85}"/>
                </c:ext>
              </c:extLst>
            </c:dLbl>
            <c:dLbl>
              <c:idx val="62"/>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A587-0B41-879F-D178A06C0B85}"/>
                </c:ext>
              </c:extLst>
            </c:dLbl>
            <c:dLbl>
              <c:idx val="63"/>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A587-0B41-879F-D178A06C0B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cocaine_HCl!$H$48:$H$111</c:f>
              <c:numCache>
                <c:formatCode>m/d/yy</c:formatCode>
                <c:ptCount val="64"/>
                <c:pt idx="0">
                  <c:v>44872</c:v>
                </c:pt>
                <c:pt idx="1">
                  <c:v>44909</c:v>
                </c:pt>
                <c:pt idx="2">
                  <c:v>44916</c:v>
                </c:pt>
                <c:pt idx="3">
                  <c:v>44937</c:v>
                </c:pt>
                <c:pt idx="4">
                  <c:v>44944</c:v>
                </c:pt>
                <c:pt idx="5">
                  <c:v>44953</c:v>
                </c:pt>
                <c:pt idx="6">
                  <c:v>44958</c:v>
                </c:pt>
                <c:pt idx="7">
                  <c:v>44979</c:v>
                </c:pt>
                <c:pt idx="8">
                  <c:v>45014</c:v>
                </c:pt>
                <c:pt idx="9">
                  <c:v>45042</c:v>
                </c:pt>
                <c:pt idx="10">
                  <c:v>45070</c:v>
                </c:pt>
                <c:pt idx="11">
                  <c:v>45112</c:v>
                </c:pt>
                <c:pt idx="12">
                  <c:v>45161</c:v>
                </c:pt>
                <c:pt idx="13">
                  <c:v>45210</c:v>
                </c:pt>
                <c:pt idx="14">
                  <c:v>45245</c:v>
                </c:pt>
                <c:pt idx="15">
                  <c:v>45315</c:v>
                </c:pt>
                <c:pt idx="16">
                  <c:v>45352</c:v>
                </c:pt>
                <c:pt idx="17">
                  <c:v>45392</c:v>
                </c:pt>
                <c:pt idx="18">
                  <c:v>45462</c:v>
                </c:pt>
                <c:pt idx="19">
                  <c:v>45483</c:v>
                </c:pt>
                <c:pt idx="20">
                  <c:v>45518</c:v>
                </c:pt>
                <c:pt idx="21">
                  <c:v>45553</c:v>
                </c:pt>
                <c:pt idx="22">
                  <c:v>45567</c:v>
                </c:pt>
                <c:pt idx="23">
                  <c:v>45581</c:v>
                </c:pt>
                <c:pt idx="24">
                  <c:v>45595</c:v>
                </c:pt>
                <c:pt idx="25">
                  <c:v>45609</c:v>
                </c:pt>
                <c:pt idx="26">
                  <c:v>45623</c:v>
                </c:pt>
                <c:pt idx="27">
                  <c:v>45637</c:v>
                </c:pt>
                <c:pt idx="28">
                  <c:v>45644</c:v>
                </c:pt>
                <c:pt idx="29">
                  <c:v>45665</c:v>
                </c:pt>
                <c:pt idx="30">
                  <c:v>45679</c:v>
                </c:pt>
                <c:pt idx="31">
                  <c:v>45693</c:v>
                </c:pt>
                <c:pt idx="32">
                  <c:v>45721</c:v>
                </c:pt>
                <c:pt idx="33">
                  <c:v>45735</c:v>
                </c:pt>
                <c:pt idx="34">
                  <c:v>45749</c:v>
                </c:pt>
                <c:pt idx="35">
                  <c:v>45763</c:v>
                </c:pt>
                <c:pt idx="36">
                  <c:v>45777</c:v>
                </c:pt>
                <c:pt idx="37">
                  <c:v>45791</c:v>
                </c:pt>
                <c:pt idx="38">
                  <c:v>45805</c:v>
                </c:pt>
                <c:pt idx="39">
                  <c:v>45819</c:v>
                </c:pt>
                <c:pt idx="40">
                  <c:v>45833</c:v>
                </c:pt>
                <c:pt idx="41">
                  <c:v>45847</c:v>
                </c:pt>
                <c:pt idx="42">
                  <c:v>45861</c:v>
                </c:pt>
                <c:pt idx="43">
                  <c:v>45889</c:v>
                </c:pt>
                <c:pt idx="44">
                  <c:v>45903</c:v>
                </c:pt>
                <c:pt idx="45">
                  <c:v>45917</c:v>
                </c:pt>
                <c:pt idx="46">
                  <c:v>45931</c:v>
                </c:pt>
                <c:pt idx="47">
                  <c:v>45945</c:v>
                </c:pt>
                <c:pt idx="48">
                  <c:v>45959</c:v>
                </c:pt>
                <c:pt idx="49">
                  <c:v>45973</c:v>
                </c:pt>
                <c:pt idx="50">
                  <c:v>45987</c:v>
                </c:pt>
                <c:pt idx="51">
                  <c:v>46043</c:v>
                </c:pt>
                <c:pt idx="52">
                  <c:v>46057</c:v>
                </c:pt>
                <c:pt idx="53">
                  <c:v>46085</c:v>
                </c:pt>
                <c:pt idx="54">
                  <c:v>46099</c:v>
                </c:pt>
                <c:pt idx="55">
                  <c:v>46113</c:v>
                </c:pt>
              </c:numCache>
            </c:numRef>
          </c:cat>
          <c:val>
            <c:numRef>
              <c:f>cocaine_HCl!$I$48:$I$111</c:f>
              <c:numCache>
                <c:formatCode>0.0</c:formatCode>
                <c:ptCount val="64"/>
                <c:pt idx="0">
                  <c:v>72.25</c:v>
                </c:pt>
                <c:pt idx="1">
                  <c:v>70.900000000000006</c:v>
                </c:pt>
                <c:pt idx="2">
                  <c:v>70.02000000000001</c:v>
                </c:pt>
                <c:pt idx="3">
                  <c:v>67.01428571428572</c:v>
                </c:pt>
                <c:pt idx="4">
                  <c:v>64.266666666666666</c:v>
                </c:pt>
                <c:pt idx="5">
                  <c:v>59.52</c:v>
                </c:pt>
                <c:pt idx="6">
                  <c:v>67.712500000000006</c:v>
                </c:pt>
                <c:pt idx="7">
                  <c:v>66.333333333333329</c:v>
                </c:pt>
                <c:pt idx="8">
                  <c:v>78.240000000000009</c:v>
                </c:pt>
                <c:pt idx="9">
                  <c:v>83.637499999999989</c:v>
                </c:pt>
                <c:pt idx="10">
                  <c:v>82.890000000000015</c:v>
                </c:pt>
                <c:pt idx="11">
                  <c:v>65.174999999999997</c:v>
                </c:pt>
                <c:pt idx="12">
                  <c:v>82.92</c:v>
                </c:pt>
                <c:pt idx="13">
                  <c:v>64.641666666666666</c:v>
                </c:pt>
                <c:pt idx="14">
                  <c:v>65.783333333333317</c:v>
                </c:pt>
                <c:pt idx="15">
                  <c:v>69.225000000000009</c:v>
                </c:pt>
                <c:pt idx="16">
                  <c:v>73.112500000000011</c:v>
                </c:pt>
                <c:pt idx="17">
                  <c:v>70.44</c:v>
                </c:pt>
                <c:pt idx="18">
                  <c:v>64.583333333333329</c:v>
                </c:pt>
                <c:pt idx="19">
                  <c:v>68.61666666666666</c:v>
                </c:pt>
                <c:pt idx="20">
                  <c:v>58.622222222222227</c:v>
                </c:pt>
                <c:pt idx="21">
                  <c:v>68.388235294117635</c:v>
                </c:pt>
                <c:pt idx="22">
                  <c:v>72.183333333333323</c:v>
                </c:pt>
                <c:pt idx="23">
                  <c:v>60.024999999999999</c:v>
                </c:pt>
                <c:pt idx="24">
                  <c:v>71.319999999999993</c:v>
                </c:pt>
                <c:pt idx="25" formatCode="General">
                  <c:v>64.7</c:v>
                </c:pt>
                <c:pt idx="26">
                  <c:v>64.288888888888891</c:v>
                </c:pt>
                <c:pt idx="27">
                  <c:v>61.029999999999994</c:v>
                </c:pt>
                <c:pt idx="28">
                  <c:v>63.733333333333327</c:v>
                </c:pt>
                <c:pt idx="29" formatCode="General">
                  <c:v>71</c:v>
                </c:pt>
                <c:pt idx="30">
                  <c:v>69.099999999999994</c:v>
                </c:pt>
                <c:pt idx="31" formatCode="General">
                  <c:v>69.699999999999989</c:v>
                </c:pt>
                <c:pt idx="32" formatCode="General">
                  <c:v>74.099999999999994</c:v>
                </c:pt>
                <c:pt idx="33">
                  <c:v>61.662499999999994</c:v>
                </c:pt>
                <c:pt idx="34">
                  <c:v>80.157142857142858</c:v>
                </c:pt>
                <c:pt idx="35">
                  <c:v>65.188888888888883</c:v>
                </c:pt>
                <c:pt idx="36" formatCode="General">
                  <c:v>68.999999999999986</c:v>
                </c:pt>
                <c:pt idx="37">
                  <c:v>66.242857142857147</c:v>
                </c:pt>
                <c:pt idx="38" formatCode="General">
                  <c:v>72.800000000000011</c:v>
                </c:pt>
                <c:pt idx="39" formatCode="General">
                  <c:v>75.199999999999989</c:v>
                </c:pt>
                <c:pt idx="40">
                  <c:v>79.45714285714287</c:v>
                </c:pt>
                <c:pt idx="41">
                  <c:v>70.36666666666666</c:v>
                </c:pt>
                <c:pt idx="42">
                  <c:v>71.983333333333334</c:v>
                </c:pt>
                <c:pt idx="43">
                  <c:v>75.25</c:v>
                </c:pt>
                <c:pt idx="44">
                  <c:v>78.766666666666666</c:v>
                </c:pt>
                <c:pt idx="45">
                  <c:v>73.419999999999987</c:v>
                </c:pt>
                <c:pt idx="46">
                  <c:v>76.759999999999991</c:v>
                </c:pt>
                <c:pt idx="47">
                  <c:v>74.533333333333346</c:v>
                </c:pt>
                <c:pt idx="48" formatCode="General">
                  <c:v>89.8</c:v>
                </c:pt>
                <c:pt idx="49">
                  <c:v>70.666666666666671</c:v>
                </c:pt>
                <c:pt idx="50">
                  <c:v>76.388888888888886</c:v>
                </c:pt>
                <c:pt idx="51" formatCode="General">
                  <c:v>73.039999999999992</c:v>
                </c:pt>
                <c:pt idx="52" formatCode="General">
                  <c:v>90.179999999999993</c:v>
                </c:pt>
                <c:pt idx="53" formatCode="0.00">
                  <c:v>69.416666666666657</c:v>
                </c:pt>
                <c:pt idx="54" formatCode="General">
                  <c:v>69</c:v>
                </c:pt>
                <c:pt idx="55" formatCode="General">
                  <c:v>73.180000000000007</c:v>
                </c:pt>
              </c:numCache>
            </c:numRef>
          </c:val>
          <c:smooth val="0"/>
          <c:extLst>
            <c:ext xmlns:c15="http://schemas.microsoft.com/office/drawing/2012/chart" uri="{02D57815-91ED-43cb-92C2-25804820EDAC}">
              <c15:datalabelsRange>
                <c15:f>cocaine_HCl!$J$48:$J$112</c15:f>
                <c15:dlblRangeCache>
                  <c:ptCount val="65"/>
                  <c:pt idx="0">
                    <c:v>4</c:v>
                  </c:pt>
                  <c:pt idx="1">
                    <c:v>4</c:v>
                  </c:pt>
                  <c:pt idx="2">
                    <c:v>5</c:v>
                  </c:pt>
                  <c:pt idx="3">
                    <c:v>7</c:v>
                  </c:pt>
                  <c:pt idx="4">
                    <c:v>3</c:v>
                  </c:pt>
                  <c:pt idx="5">
                    <c:v>5</c:v>
                  </c:pt>
                  <c:pt idx="6">
                    <c:v>8</c:v>
                  </c:pt>
                  <c:pt idx="7">
                    <c:v>6</c:v>
                  </c:pt>
                  <c:pt idx="8">
                    <c:v>5</c:v>
                  </c:pt>
                  <c:pt idx="9">
                    <c:v>8</c:v>
                  </c:pt>
                  <c:pt idx="10">
                    <c:v>10</c:v>
                  </c:pt>
                  <c:pt idx="11">
                    <c:v>4</c:v>
                  </c:pt>
                  <c:pt idx="12">
                    <c:v>5</c:v>
                  </c:pt>
                  <c:pt idx="13">
                    <c:v>12</c:v>
                  </c:pt>
                  <c:pt idx="14">
                    <c:v>6</c:v>
                  </c:pt>
                  <c:pt idx="15">
                    <c:v>12</c:v>
                  </c:pt>
                  <c:pt idx="16">
                    <c:v>8</c:v>
                  </c:pt>
                  <c:pt idx="17">
                    <c:v>5</c:v>
                  </c:pt>
                  <c:pt idx="18">
                    <c:v>6</c:v>
                  </c:pt>
                  <c:pt idx="19">
                    <c:v>12</c:v>
                  </c:pt>
                  <c:pt idx="20">
                    <c:v>9</c:v>
                  </c:pt>
                  <c:pt idx="21">
                    <c:v>17</c:v>
                  </c:pt>
                  <c:pt idx="22">
                    <c:v>12</c:v>
                  </c:pt>
                  <c:pt idx="23">
                    <c:v>8</c:v>
                  </c:pt>
                  <c:pt idx="24">
                    <c:v>10</c:v>
                  </c:pt>
                  <c:pt idx="25">
                    <c:v>9</c:v>
                  </c:pt>
                  <c:pt idx="26">
                    <c:v>9</c:v>
                  </c:pt>
                  <c:pt idx="27">
                    <c:v>10</c:v>
                  </c:pt>
                  <c:pt idx="28">
                    <c:v>6</c:v>
                  </c:pt>
                  <c:pt idx="29">
                    <c:v>9</c:v>
                  </c:pt>
                  <c:pt idx="30">
                    <c:v>4</c:v>
                  </c:pt>
                  <c:pt idx="31">
                    <c:v>4</c:v>
                  </c:pt>
                  <c:pt idx="32">
                    <c:v>8</c:v>
                  </c:pt>
                  <c:pt idx="33">
                    <c:v>8</c:v>
                  </c:pt>
                  <c:pt idx="34">
                    <c:v>7</c:v>
                  </c:pt>
                  <c:pt idx="35">
                    <c:v>9</c:v>
                  </c:pt>
                  <c:pt idx="36">
                    <c:v>7</c:v>
                  </c:pt>
                  <c:pt idx="37">
                    <c:v>7</c:v>
                  </c:pt>
                  <c:pt idx="38">
                    <c:v>8</c:v>
                  </c:pt>
                  <c:pt idx="39">
                    <c:v>2</c:v>
                  </c:pt>
                  <c:pt idx="40">
                    <c:v>7</c:v>
                  </c:pt>
                  <c:pt idx="41">
                    <c:v>9</c:v>
                  </c:pt>
                  <c:pt idx="42">
                    <c:v>6</c:v>
                  </c:pt>
                  <c:pt idx="43">
                    <c:v>2</c:v>
                  </c:pt>
                  <c:pt idx="44">
                    <c:v>3</c:v>
                  </c:pt>
                  <c:pt idx="45">
                    <c:v>5</c:v>
                  </c:pt>
                  <c:pt idx="46">
                    <c:v>5</c:v>
                  </c:pt>
                  <c:pt idx="47">
                    <c:v>6</c:v>
                  </c:pt>
                  <c:pt idx="48">
                    <c:v>1</c:v>
                  </c:pt>
                  <c:pt idx="49">
                    <c:v>3</c:v>
                  </c:pt>
                  <c:pt idx="50">
                    <c:v>9</c:v>
                  </c:pt>
                  <c:pt idx="51">
                    <c:v>5</c:v>
                  </c:pt>
                  <c:pt idx="52">
                    <c:v>5</c:v>
                  </c:pt>
                  <c:pt idx="53">
                    <c:v>6</c:v>
                  </c:pt>
                  <c:pt idx="54">
                    <c:v>8</c:v>
                  </c:pt>
                  <c:pt idx="55">
                    <c:v>10</c:v>
                  </c:pt>
                </c15:dlblRangeCache>
              </c15:datalabelsRange>
            </c:ext>
            <c:ext xmlns:c16="http://schemas.microsoft.com/office/drawing/2014/chart" uri="{C3380CC4-5D6E-409C-BE32-E72D297353CC}">
              <c16:uniqueId val="{00000000-BF00-F948-91EE-456614232B78}"/>
            </c:ext>
          </c:extLst>
        </c:ser>
        <c:dLbls>
          <c:dLblPos val="t"/>
          <c:showLegendKey val="0"/>
          <c:showVal val="1"/>
          <c:showCatName val="0"/>
          <c:showSerName val="0"/>
          <c:showPercent val="0"/>
          <c:showBubbleSize val="0"/>
        </c:dLbls>
        <c:marker val="1"/>
        <c:smooth val="0"/>
        <c:axId val="675367103"/>
        <c:axId val="675968639"/>
      </c:lineChart>
      <c:dateAx>
        <c:axId val="675367103"/>
        <c:scaling>
          <c:orientation val="minMax"/>
          <c:max val="46143"/>
          <c:min val="44866"/>
        </c:scaling>
        <c:delete val="0"/>
        <c:axPos val="b"/>
        <c:majorGridlines>
          <c:spPr>
            <a:ln w="9525" cap="flat" cmpd="sng" algn="ctr">
              <a:solidFill>
                <a:schemeClr val="tx1">
                  <a:lumMod val="15000"/>
                  <a:lumOff val="85000"/>
                </a:schemeClr>
              </a:solidFill>
              <a:round/>
            </a:ln>
            <a:effectLst/>
          </c:spPr>
        </c:majorGridlines>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968639"/>
        <c:crosses val="autoZero"/>
        <c:auto val="1"/>
        <c:lblOffset val="100"/>
        <c:baseTimeUnit val="days"/>
        <c:majorUnit val="2"/>
        <c:majorTimeUnit val="months"/>
      </c:dateAx>
      <c:valAx>
        <c:axId val="675968639"/>
        <c:scaling>
          <c:orientation val="minMax"/>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3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crack (n=156) - Ordre croissant</a:t>
            </a:r>
            <a:endParaRPr lang="fr-CH"/>
          </a:p>
        </c:rich>
      </c:tx>
      <c:layout>
        <c:manualLayout>
          <c:xMode val="edge"/>
          <c:yMode val="edge"/>
          <c:x val="0.2372365559206610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CH"/>
        </a:p>
      </c:txPr>
    </c:title>
    <c:autoTitleDeleted val="0"/>
    <c:plotArea>
      <c:layout/>
      <c:scatterChart>
        <c:scatterStyle val="lineMarker"/>
        <c:varyColors val="0"/>
        <c:ser>
          <c:idx val="0"/>
          <c:order val="0"/>
          <c:tx>
            <c:strRef>
              <c:f>cocaine_base!$Z$1</c:f>
              <c:strCache>
                <c:ptCount val="1"/>
                <c:pt idx="0">
                  <c:v>pureté Base</c:v>
                </c:pt>
              </c:strCache>
            </c:strRef>
          </c:tx>
          <c:spPr>
            <a:ln w="25400" cap="rnd">
              <a:noFill/>
              <a:round/>
            </a:ln>
            <a:effectLst/>
          </c:spPr>
          <c:marker>
            <c:symbol val="circle"/>
            <c:size val="5"/>
            <c:spPr>
              <a:solidFill>
                <a:schemeClr val="accent5">
                  <a:lumMod val="20000"/>
                  <a:lumOff val="80000"/>
                </a:schemeClr>
              </a:solidFill>
              <a:ln w="9525">
                <a:solidFill>
                  <a:schemeClr val="bg1">
                    <a:lumMod val="65000"/>
                  </a:schemeClr>
                </a:solidFill>
              </a:ln>
              <a:effectLst/>
            </c:spPr>
          </c:marker>
          <c:xVal>
            <c:numRef>
              <c:f>cocaine_base!$Z$2:$Z$199</c:f>
              <c:numCache>
                <c:formatCode>General</c:formatCode>
                <c:ptCount val="198"/>
                <c:pt idx="0">
                  <c:v>48.6</c:v>
                </c:pt>
                <c:pt idx="1">
                  <c:v>53</c:v>
                </c:pt>
                <c:pt idx="2">
                  <c:v>64.3</c:v>
                </c:pt>
                <c:pt idx="3">
                  <c:v>66.8</c:v>
                </c:pt>
                <c:pt idx="4">
                  <c:v>67.3</c:v>
                </c:pt>
                <c:pt idx="5">
                  <c:v>68.3</c:v>
                </c:pt>
                <c:pt idx="6">
                  <c:v>69</c:v>
                </c:pt>
                <c:pt idx="7">
                  <c:v>69.099999999999994</c:v>
                </c:pt>
                <c:pt idx="8">
                  <c:v>69.900000000000006</c:v>
                </c:pt>
                <c:pt idx="9" formatCode="0.0">
                  <c:v>72.3</c:v>
                </c:pt>
                <c:pt idx="10">
                  <c:v>72.400000000000006</c:v>
                </c:pt>
                <c:pt idx="11">
                  <c:v>72.900000000000006</c:v>
                </c:pt>
                <c:pt idx="12">
                  <c:v>73.2</c:v>
                </c:pt>
                <c:pt idx="13">
                  <c:v>73.3</c:v>
                </c:pt>
                <c:pt idx="14">
                  <c:v>73.5</c:v>
                </c:pt>
                <c:pt idx="15">
                  <c:v>73.599999999999994</c:v>
                </c:pt>
                <c:pt idx="16">
                  <c:v>74.3</c:v>
                </c:pt>
                <c:pt idx="17">
                  <c:v>74.3</c:v>
                </c:pt>
                <c:pt idx="18">
                  <c:v>74.3</c:v>
                </c:pt>
                <c:pt idx="19">
                  <c:v>74.400000000000006</c:v>
                </c:pt>
                <c:pt idx="20">
                  <c:v>74.400000000000006</c:v>
                </c:pt>
                <c:pt idx="21">
                  <c:v>74.900000000000006</c:v>
                </c:pt>
                <c:pt idx="22">
                  <c:v>75.099999999999994</c:v>
                </c:pt>
                <c:pt idx="23">
                  <c:v>75.2</c:v>
                </c:pt>
                <c:pt idx="24">
                  <c:v>75.3</c:v>
                </c:pt>
                <c:pt idx="25">
                  <c:v>75.599999999999994</c:v>
                </c:pt>
                <c:pt idx="26">
                  <c:v>75.7</c:v>
                </c:pt>
                <c:pt idx="27">
                  <c:v>75.7</c:v>
                </c:pt>
                <c:pt idx="28">
                  <c:v>75.8</c:v>
                </c:pt>
                <c:pt idx="29">
                  <c:v>75.8</c:v>
                </c:pt>
                <c:pt idx="30">
                  <c:v>76.099999999999994</c:v>
                </c:pt>
                <c:pt idx="31">
                  <c:v>76.3</c:v>
                </c:pt>
                <c:pt idx="32">
                  <c:v>76.3</c:v>
                </c:pt>
                <c:pt idx="33">
                  <c:v>76.5</c:v>
                </c:pt>
                <c:pt idx="34">
                  <c:v>76.900000000000006</c:v>
                </c:pt>
                <c:pt idx="35">
                  <c:v>77</c:v>
                </c:pt>
                <c:pt idx="36">
                  <c:v>77.099999999999994</c:v>
                </c:pt>
                <c:pt idx="37">
                  <c:v>77.099999999999994</c:v>
                </c:pt>
                <c:pt idx="38">
                  <c:v>77.2</c:v>
                </c:pt>
                <c:pt idx="39">
                  <c:v>77.599999999999994</c:v>
                </c:pt>
                <c:pt idx="40">
                  <c:v>77.8</c:v>
                </c:pt>
                <c:pt idx="41">
                  <c:v>77.900000000000006</c:v>
                </c:pt>
                <c:pt idx="42">
                  <c:v>77.900000000000006</c:v>
                </c:pt>
                <c:pt idx="43">
                  <c:v>78.2</c:v>
                </c:pt>
                <c:pt idx="44">
                  <c:v>78.2</c:v>
                </c:pt>
                <c:pt idx="45">
                  <c:v>78.400000000000006</c:v>
                </c:pt>
                <c:pt idx="46">
                  <c:v>78.400000000000006</c:v>
                </c:pt>
                <c:pt idx="47" formatCode="0.0">
                  <c:v>78.5</c:v>
                </c:pt>
                <c:pt idx="48">
                  <c:v>78.5</c:v>
                </c:pt>
                <c:pt idx="49">
                  <c:v>78.599999999999994</c:v>
                </c:pt>
                <c:pt idx="50">
                  <c:v>78.7</c:v>
                </c:pt>
                <c:pt idx="51">
                  <c:v>78.7</c:v>
                </c:pt>
                <c:pt idx="52">
                  <c:v>78.7</c:v>
                </c:pt>
                <c:pt idx="53">
                  <c:v>78.7</c:v>
                </c:pt>
                <c:pt idx="54">
                  <c:v>78.900000000000006</c:v>
                </c:pt>
                <c:pt idx="55">
                  <c:v>79.099999999999994</c:v>
                </c:pt>
                <c:pt idx="56">
                  <c:v>79.099999999999994</c:v>
                </c:pt>
                <c:pt idx="57">
                  <c:v>79.099999999999994</c:v>
                </c:pt>
                <c:pt idx="58">
                  <c:v>79.2</c:v>
                </c:pt>
                <c:pt idx="59" formatCode="0.0">
                  <c:v>79.3</c:v>
                </c:pt>
                <c:pt idx="60">
                  <c:v>79.7</c:v>
                </c:pt>
                <c:pt idx="61">
                  <c:v>79.7</c:v>
                </c:pt>
                <c:pt idx="62">
                  <c:v>79.7</c:v>
                </c:pt>
                <c:pt idx="63">
                  <c:v>79.900000000000006</c:v>
                </c:pt>
                <c:pt idx="64">
                  <c:v>80</c:v>
                </c:pt>
                <c:pt idx="65">
                  <c:v>80.099999999999994</c:v>
                </c:pt>
                <c:pt idx="66">
                  <c:v>80.2</c:v>
                </c:pt>
                <c:pt idx="67">
                  <c:v>80.2</c:v>
                </c:pt>
                <c:pt idx="68">
                  <c:v>80.2</c:v>
                </c:pt>
                <c:pt idx="69">
                  <c:v>80.2</c:v>
                </c:pt>
                <c:pt idx="70">
                  <c:v>80.3</c:v>
                </c:pt>
                <c:pt idx="71">
                  <c:v>80.8</c:v>
                </c:pt>
                <c:pt idx="72">
                  <c:v>81.2</c:v>
                </c:pt>
                <c:pt idx="73">
                  <c:v>81.3</c:v>
                </c:pt>
                <c:pt idx="74">
                  <c:v>81.3</c:v>
                </c:pt>
                <c:pt idx="75">
                  <c:v>81.5</c:v>
                </c:pt>
                <c:pt idx="76">
                  <c:v>81.5</c:v>
                </c:pt>
                <c:pt idx="77">
                  <c:v>81.599999999999994</c:v>
                </c:pt>
                <c:pt idx="78">
                  <c:v>81.599999999999994</c:v>
                </c:pt>
                <c:pt idx="79">
                  <c:v>82</c:v>
                </c:pt>
                <c:pt idx="80">
                  <c:v>82</c:v>
                </c:pt>
                <c:pt idx="81">
                  <c:v>82.1</c:v>
                </c:pt>
                <c:pt idx="82">
                  <c:v>82.3</c:v>
                </c:pt>
                <c:pt idx="83">
                  <c:v>82.3</c:v>
                </c:pt>
                <c:pt idx="84">
                  <c:v>82.3</c:v>
                </c:pt>
                <c:pt idx="85">
                  <c:v>82.4</c:v>
                </c:pt>
                <c:pt idx="86">
                  <c:v>82.4</c:v>
                </c:pt>
                <c:pt idx="87">
                  <c:v>82.5</c:v>
                </c:pt>
                <c:pt idx="88">
                  <c:v>82.7</c:v>
                </c:pt>
                <c:pt idx="89">
                  <c:v>82.8</c:v>
                </c:pt>
                <c:pt idx="90">
                  <c:v>82.8</c:v>
                </c:pt>
                <c:pt idx="91">
                  <c:v>82.8</c:v>
                </c:pt>
                <c:pt idx="92">
                  <c:v>83</c:v>
                </c:pt>
                <c:pt idx="93">
                  <c:v>83.2</c:v>
                </c:pt>
                <c:pt idx="94">
                  <c:v>83.3</c:v>
                </c:pt>
                <c:pt idx="95">
                  <c:v>83.5</c:v>
                </c:pt>
                <c:pt idx="96">
                  <c:v>83.6</c:v>
                </c:pt>
                <c:pt idx="97">
                  <c:v>83.6</c:v>
                </c:pt>
                <c:pt idx="98">
                  <c:v>83.6</c:v>
                </c:pt>
                <c:pt idx="99">
                  <c:v>83.8</c:v>
                </c:pt>
                <c:pt idx="100">
                  <c:v>84</c:v>
                </c:pt>
                <c:pt idx="101">
                  <c:v>84</c:v>
                </c:pt>
                <c:pt idx="102">
                  <c:v>84.1</c:v>
                </c:pt>
                <c:pt idx="103">
                  <c:v>84.1</c:v>
                </c:pt>
                <c:pt idx="104">
                  <c:v>84.3</c:v>
                </c:pt>
                <c:pt idx="105">
                  <c:v>84.3</c:v>
                </c:pt>
                <c:pt idx="106">
                  <c:v>84.9</c:v>
                </c:pt>
                <c:pt idx="107">
                  <c:v>85</c:v>
                </c:pt>
                <c:pt idx="108">
                  <c:v>85</c:v>
                </c:pt>
                <c:pt idx="109">
                  <c:v>85.2</c:v>
                </c:pt>
                <c:pt idx="110">
                  <c:v>85.3</c:v>
                </c:pt>
                <c:pt idx="111">
                  <c:v>85.4</c:v>
                </c:pt>
                <c:pt idx="112">
                  <c:v>85.5</c:v>
                </c:pt>
                <c:pt idx="113">
                  <c:v>85.5</c:v>
                </c:pt>
                <c:pt idx="114">
                  <c:v>85.8</c:v>
                </c:pt>
                <c:pt idx="115">
                  <c:v>85.9</c:v>
                </c:pt>
                <c:pt idx="116">
                  <c:v>86</c:v>
                </c:pt>
                <c:pt idx="117">
                  <c:v>86</c:v>
                </c:pt>
                <c:pt idx="118">
                  <c:v>86</c:v>
                </c:pt>
                <c:pt idx="119">
                  <c:v>86.1</c:v>
                </c:pt>
                <c:pt idx="120">
                  <c:v>86.2</c:v>
                </c:pt>
                <c:pt idx="121">
                  <c:v>86.2</c:v>
                </c:pt>
                <c:pt idx="122">
                  <c:v>86.4</c:v>
                </c:pt>
                <c:pt idx="123">
                  <c:v>86.5</c:v>
                </c:pt>
                <c:pt idx="124">
                  <c:v>86.7</c:v>
                </c:pt>
                <c:pt idx="125">
                  <c:v>87</c:v>
                </c:pt>
                <c:pt idx="126">
                  <c:v>87.1</c:v>
                </c:pt>
                <c:pt idx="127">
                  <c:v>87.1</c:v>
                </c:pt>
                <c:pt idx="128">
                  <c:v>87.1</c:v>
                </c:pt>
                <c:pt idx="129">
                  <c:v>87.3</c:v>
                </c:pt>
                <c:pt idx="130">
                  <c:v>87.3</c:v>
                </c:pt>
                <c:pt idx="131">
                  <c:v>87.8</c:v>
                </c:pt>
                <c:pt idx="132">
                  <c:v>87.9</c:v>
                </c:pt>
                <c:pt idx="133">
                  <c:v>87.9</c:v>
                </c:pt>
                <c:pt idx="134">
                  <c:v>88</c:v>
                </c:pt>
                <c:pt idx="135">
                  <c:v>88.1</c:v>
                </c:pt>
                <c:pt idx="136">
                  <c:v>88.1</c:v>
                </c:pt>
                <c:pt idx="137">
                  <c:v>88.2</c:v>
                </c:pt>
                <c:pt idx="138">
                  <c:v>88.3</c:v>
                </c:pt>
                <c:pt idx="139">
                  <c:v>88.5</c:v>
                </c:pt>
                <c:pt idx="140">
                  <c:v>88.7</c:v>
                </c:pt>
                <c:pt idx="141">
                  <c:v>88.8</c:v>
                </c:pt>
                <c:pt idx="142">
                  <c:v>88.9</c:v>
                </c:pt>
                <c:pt idx="143">
                  <c:v>89.5</c:v>
                </c:pt>
                <c:pt idx="144">
                  <c:v>89.7</c:v>
                </c:pt>
                <c:pt idx="145">
                  <c:v>90.1</c:v>
                </c:pt>
                <c:pt idx="146">
                  <c:v>90.7</c:v>
                </c:pt>
                <c:pt idx="147">
                  <c:v>91.1</c:v>
                </c:pt>
                <c:pt idx="148">
                  <c:v>91.7</c:v>
                </c:pt>
                <c:pt idx="149">
                  <c:v>91.8</c:v>
                </c:pt>
                <c:pt idx="150">
                  <c:v>91.9</c:v>
                </c:pt>
                <c:pt idx="151">
                  <c:v>92.9</c:v>
                </c:pt>
                <c:pt idx="152">
                  <c:v>93.1</c:v>
                </c:pt>
                <c:pt idx="153">
                  <c:v>93.3</c:v>
                </c:pt>
                <c:pt idx="154">
                  <c:v>93.6</c:v>
                </c:pt>
                <c:pt idx="155">
                  <c:v>94.3</c:v>
                </c:pt>
              </c:numCache>
            </c:numRef>
          </c:xVal>
          <c:yVal>
            <c:numRef>
              <c:f>cocaine_base!$W$2:$W$199</c:f>
              <c:numCache>
                <c:formatCode>General</c:formatCode>
                <c:ptCount val="19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numCache>
            </c:numRef>
          </c:yVal>
          <c:smooth val="0"/>
          <c:extLst>
            <c:ext xmlns:c16="http://schemas.microsoft.com/office/drawing/2014/chart" uri="{C3380CC4-5D6E-409C-BE32-E72D297353CC}">
              <c16:uniqueId val="{00000000-48EC-FC49-B822-23BCCA3973C2}"/>
            </c:ext>
          </c:extLst>
        </c:ser>
        <c:dLbls>
          <c:showLegendKey val="0"/>
          <c:showVal val="0"/>
          <c:showCatName val="0"/>
          <c:showSerName val="0"/>
          <c:showPercent val="0"/>
          <c:showBubbleSize val="0"/>
        </c:dLbls>
        <c:axId val="1570981615"/>
        <c:axId val="1571840207"/>
      </c:scatterChart>
      <c:valAx>
        <c:axId val="1570981615"/>
        <c:scaling>
          <c:orientation val="minMax"/>
          <c:max val="100"/>
          <c:min val="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571840207"/>
        <c:crosses val="autoZero"/>
        <c:crossBetween val="midCat"/>
      </c:valAx>
      <c:valAx>
        <c:axId val="1571840207"/>
        <c:scaling>
          <c:orientation val="minMax"/>
          <c:max val="16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échantillons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570981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crack (n=156)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stacked"/>
        <c:varyColors val="0"/>
        <c:ser>
          <c:idx val="0"/>
          <c:order val="0"/>
          <c:tx>
            <c:strRef>
              <c:f>cocaine_base!$H$37</c:f>
              <c:strCache>
                <c:ptCount val="1"/>
                <c:pt idx="0">
                  <c:v>min</c:v>
                </c:pt>
              </c:strCache>
            </c:strRef>
          </c:tx>
          <c:spPr>
            <a:noFill/>
            <a:ln>
              <a:noFill/>
            </a:ln>
            <a:effectLst/>
          </c:spPr>
          <c:invertIfNegative val="0"/>
          <c:cat>
            <c:strRef>
              <c:f>cocaine_base!$I$36</c:f>
              <c:strCache>
                <c:ptCount val="1"/>
                <c:pt idx="0">
                  <c:v>Cocaine base</c:v>
                </c:pt>
              </c:strCache>
            </c:strRef>
          </c:cat>
          <c:val>
            <c:numRef>
              <c:f>cocaine_base!$I$37</c:f>
              <c:numCache>
                <c:formatCode>General</c:formatCode>
                <c:ptCount val="1"/>
                <c:pt idx="0">
                  <c:v>48.6</c:v>
                </c:pt>
              </c:numCache>
            </c:numRef>
          </c:val>
          <c:extLst>
            <c:ext xmlns:c16="http://schemas.microsoft.com/office/drawing/2014/chart" uri="{C3380CC4-5D6E-409C-BE32-E72D297353CC}">
              <c16:uniqueId val="{00000000-9D4E-8A4E-BCE1-2F817F99AE07}"/>
            </c:ext>
          </c:extLst>
        </c:ser>
        <c:ser>
          <c:idx val="1"/>
          <c:order val="1"/>
          <c:tx>
            <c:strRef>
              <c:f>cocaine_base!$H$38</c:f>
              <c:strCache>
                <c:ptCount val="1"/>
                <c:pt idx="0">
                  <c:v>1-min</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cocaine_base!$I$36</c:f>
              <c:strCache>
                <c:ptCount val="1"/>
                <c:pt idx="0">
                  <c:v>Cocaine base</c:v>
                </c:pt>
              </c:strCache>
            </c:strRef>
          </c:cat>
          <c:val>
            <c:numRef>
              <c:f>cocaine_base!$I$38</c:f>
              <c:numCache>
                <c:formatCode>General</c:formatCode>
                <c:ptCount val="1"/>
                <c:pt idx="0">
                  <c:v>28.9</c:v>
                </c:pt>
              </c:numCache>
            </c:numRef>
          </c:val>
          <c:extLst>
            <c:ext xmlns:c16="http://schemas.microsoft.com/office/drawing/2014/chart" uri="{C3380CC4-5D6E-409C-BE32-E72D297353CC}">
              <c16:uniqueId val="{00000001-9D4E-8A4E-BCE1-2F817F99AE07}"/>
            </c:ext>
          </c:extLst>
        </c:ser>
        <c:ser>
          <c:idx val="2"/>
          <c:order val="2"/>
          <c:tx>
            <c:strRef>
              <c:f>cocaine_base!$H$39</c:f>
              <c:strCache>
                <c:ptCount val="1"/>
                <c:pt idx="0">
                  <c:v>méd-1</c:v>
                </c:pt>
              </c:strCache>
            </c:strRef>
          </c:tx>
          <c:spPr>
            <a:solidFill>
              <a:schemeClr val="accent5">
                <a:lumMod val="20000"/>
                <a:lumOff val="80000"/>
              </a:schemeClr>
            </a:solidFill>
            <a:ln>
              <a:solidFill>
                <a:schemeClr val="tx1">
                  <a:lumMod val="50000"/>
                  <a:lumOff val="50000"/>
                </a:schemeClr>
              </a:solidFill>
            </a:ln>
            <a:effectLst/>
          </c:spPr>
          <c:invertIfNegative val="0"/>
          <c:cat>
            <c:strRef>
              <c:f>cocaine_base!$I$36</c:f>
              <c:strCache>
                <c:ptCount val="1"/>
                <c:pt idx="0">
                  <c:v>Cocaine base</c:v>
                </c:pt>
              </c:strCache>
            </c:strRef>
          </c:cat>
          <c:val>
            <c:numRef>
              <c:f>cocaine_base!$I$39</c:f>
              <c:numCache>
                <c:formatCode>General</c:formatCode>
                <c:ptCount val="1"/>
                <c:pt idx="0">
                  <c:v>4.0999999999999943</c:v>
                </c:pt>
              </c:numCache>
            </c:numRef>
          </c:val>
          <c:extLst>
            <c:ext xmlns:c16="http://schemas.microsoft.com/office/drawing/2014/chart" uri="{C3380CC4-5D6E-409C-BE32-E72D297353CC}">
              <c16:uniqueId val="{00000002-9D4E-8A4E-BCE1-2F817F99AE07}"/>
            </c:ext>
          </c:extLst>
        </c:ser>
        <c:ser>
          <c:idx val="3"/>
          <c:order val="3"/>
          <c:tx>
            <c:strRef>
              <c:f>cocaine_base!$H$40</c:f>
              <c:strCache>
                <c:ptCount val="1"/>
                <c:pt idx="0">
                  <c:v>3-méd</c:v>
                </c:pt>
              </c:strCache>
            </c:strRef>
          </c:tx>
          <c:spPr>
            <a:solidFill>
              <a:schemeClr val="accent5">
                <a:lumMod val="20000"/>
                <a:lumOff val="80000"/>
              </a:schemeClr>
            </a:solidFill>
            <a:ln>
              <a:solidFill>
                <a:schemeClr val="tx1">
                  <a:lumMod val="50000"/>
                  <a:lumOff val="50000"/>
                </a:schemeClr>
              </a:solidFill>
            </a:ln>
            <a:effectLst/>
          </c:spPr>
          <c:invertIfNegative val="0"/>
          <c:cat>
            <c:strRef>
              <c:f>cocaine_base!$I$36</c:f>
              <c:strCache>
                <c:ptCount val="1"/>
                <c:pt idx="0">
                  <c:v>Cocaine base</c:v>
                </c:pt>
              </c:strCache>
            </c:strRef>
          </c:cat>
          <c:val>
            <c:numRef>
              <c:f>cocaine_base!$I$40</c:f>
              <c:numCache>
                <c:formatCode>General</c:formatCode>
                <c:ptCount val="1"/>
                <c:pt idx="0">
                  <c:v>4.4000000000000057</c:v>
                </c:pt>
              </c:numCache>
            </c:numRef>
          </c:val>
          <c:extLst>
            <c:ext xmlns:c16="http://schemas.microsoft.com/office/drawing/2014/chart" uri="{C3380CC4-5D6E-409C-BE32-E72D297353CC}">
              <c16:uniqueId val="{00000003-9D4E-8A4E-BCE1-2F817F99AE07}"/>
            </c:ext>
          </c:extLst>
        </c:ser>
        <c:ser>
          <c:idx val="4"/>
          <c:order val="4"/>
          <c:tx>
            <c:strRef>
              <c:f>cocaine_base!$H$41</c:f>
              <c:strCache>
                <c:ptCount val="1"/>
                <c:pt idx="0">
                  <c:v>max-3</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cocaine_base!$I$36</c:f>
              <c:strCache>
                <c:ptCount val="1"/>
                <c:pt idx="0">
                  <c:v>Cocaine base</c:v>
                </c:pt>
              </c:strCache>
            </c:strRef>
          </c:cat>
          <c:val>
            <c:numRef>
              <c:f>cocaine_base!$I$41</c:f>
              <c:numCache>
                <c:formatCode>General</c:formatCode>
                <c:ptCount val="1"/>
                <c:pt idx="0">
                  <c:v>8.2999999999999972</c:v>
                </c:pt>
              </c:numCache>
            </c:numRef>
          </c:val>
          <c:extLst>
            <c:ext xmlns:c16="http://schemas.microsoft.com/office/drawing/2014/chart" uri="{C3380CC4-5D6E-409C-BE32-E72D297353CC}">
              <c16:uniqueId val="{00000004-9D4E-8A4E-BCE1-2F817F99AE07}"/>
            </c:ext>
          </c:extLst>
        </c:ser>
        <c:dLbls>
          <c:showLegendKey val="0"/>
          <c:showVal val="0"/>
          <c:showCatName val="0"/>
          <c:showSerName val="0"/>
          <c:showPercent val="0"/>
          <c:showBubbleSize val="0"/>
        </c:dLbls>
        <c:gapWidth val="150"/>
        <c:overlap val="100"/>
        <c:axId val="70560415"/>
        <c:axId val="71165055"/>
      </c:barChart>
      <c:catAx>
        <c:axId val="70560415"/>
        <c:scaling>
          <c:orientation val="minMax"/>
        </c:scaling>
        <c:delete val="1"/>
        <c:axPos val="b"/>
        <c:numFmt formatCode="General" sourceLinked="1"/>
        <c:majorTickMark val="none"/>
        <c:minorTickMark val="none"/>
        <c:tickLblPos val="nextTo"/>
        <c:crossAx val="71165055"/>
        <c:crosses val="autoZero"/>
        <c:auto val="1"/>
        <c:lblAlgn val="ctr"/>
        <c:lblOffset val="100"/>
        <c:noMultiLvlLbl val="0"/>
      </c:catAx>
      <c:valAx>
        <c:axId val="71165055"/>
        <c:scaling>
          <c:orientation val="minMax"/>
          <c:min val="6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7056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Distribution de la pureté - Crack (n=156)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clustered"/>
        <c:varyColors val="0"/>
        <c:ser>
          <c:idx val="1"/>
          <c:order val="0"/>
          <c:tx>
            <c:strRef>
              <c:f>cocaine_base!$AD$1</c:f>
              <c:strCache>
                <c:ptCount val="1"/>
                <c:pt idx="0">
                  <c:v>Frequence</c:v>
                </c:pt>
              </c:strCache>
            </c:strRef>
          </c:tx>
          <c:spPr>
            <a:solidFill>
              <a:schemeClr val="accent5">
                <a:lumMod val="20000"/>
                <a:lumOff val="80000"/>
              </a:schemeClr>
            </a:solidFill>
            <a:ln>
              <a:solidFill>
                <a:schemeClr val="bg1">
                  <a:lumMod val="65000"/>
                </a:schemeClr>
              </a:solidFill>
            </a:ln>
            <a:effectLst/>
          </c:spPr>
          <c:invertIfNegative val="0"/>
          <c:dLbls>
            <c:dLbl>
              <c:idx val="0"/>
              <c:tx>
                <c:rich>
                  <a:bodyPr/>
                  <a:lstStyle/>
                  <a:p>
                    <a:fld id="{88CC6D14-000C-064E-AD3D-22720A7AA0F2}" type="CELLRANGE">
                      <a:rPr lang="en-US"/>
                      <a:pPr/>
                      <a:t>[PLAGECELL]</a:t>
                    </a:fld>
                    <a:r>
                      <a:rPr lang="en-US"/>
                      <a:t>%</a:t>
                    </a:r>
                    <a:endParaRPr lang="en-US" baseline="0"/>
                  </a:p>
                  <a:p>
                    <a:r>
                      <a:rPr lang="en-US"/>
                      <a:t>n=</a:t>
                    </a:r>
                    <a:fld id="{0B1B659B-1C68-4842-8A5B-D8775A04A65F}"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F7E3-8D46-BB5E-1FCF3A1429CB}"/>
                </c:ext>
              </c:extLst>
            </c:dLbl>
            <c:dLbl>
              <c:idx val="1"/>
              <c:tx>
                <c:rich>
                  <a:bodyPr/>
                  <a:lstStyle/>
                  <a:p>
                    <a:fld id="{9C9C2343-2B55-6F44-A178-5355A35B7F2F}" type="CELLRANGE">
                      <a:rPr lang="en-US"/>
                      <a:pPr/>
                      <a:t>[PLAGECELL]</a:t>
                    </a:fld>
                    <a:r>
                      <a:rPr lang="en-US"/>
                      <a:t>%</a:t>
                    </a:r>
                    <a:endParaRPr lang="en-US" baseline="0"/>
                  </a:p>
                  <a:p>
                    <a:r>
                      <a:rPr lang="en-US"/>
                      <a:t>n=</a:t>
                    </a:r>
                    <a:fld id="{BCD09F29-1357-A242-B028-9B984B07740E}"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7E3-8D46-BB5E-1FCF3A1429CB}"/>
                </c:ext>
              </c:extLst>
            </c:dLbl>
            <c:dLbl>
              <c:idx val="2"/>
              <c:tx>
                <c:rich>
                  <a:bodyPr/>
                  <a:lstStyle/>
                  <a:p>
                    <a:fld id="{46A7D87C-EA69-B544-9AFB-5EED03D1EB8D}" type="CELLRANGE">
                      <a:rPr lang="en-US"/>
                      <a:pPr/>
                      <a:t>[PLAGECELL]</a:t>
                    </a:fld>
                    <a:r>
                      <a:rPr lang="en-US"/>
                      <a:t>%</a:t>
                    </a:r>
                    <a:endParaRPr lang="en-US" baseline="0"/>
                  </a:p>
                  <a:p>
                    <a:r>
                      <a:rPr lang="en-US"/>
                      <a:t>n=</a:t>
                    </a:r>
                    <a:fld id="{F2DD5199-C2D0-404D-8D76-062B92C33ADD}"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F7E3-8D46-BB5E-1FCF3A1429CB}"/>
                </c:ext>
              </c:extLst>
            </c:dLbl>
            <c:dLbl>
              <c:idx val="3"/>
              <c:tx>
                <c:rich>
                  <a:bodyPr/>
                  <a:lstStyle/>
                  <a:p>
                    <a:fld id="{FB6F38A5-FACD-E64C-933C-3FDCEB6E3FD7}" type="CELLRANGE">
                      <a:rPr lang="en-US"/>
                      <a:pPr/>
                      <a:t>[PLAGECELL]</a:t>
                    </a:fld>
                    <a:r>
                      <a:rPr lang="en-US"/>
                      <a:t>%</a:t>
                    </a:r>
                    <a:endParaRPr lang="en-US" baseline="0"/>
                  </a:p>
                  <a:p>
                    <a:r>
                      <a:rPr lang="en-US"/>
                      <a:t>n=</a:t>
                    </a:r>
                    <a:fld id="{94926ED5-4D59-D842-9859-891BDAFC58FF}"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F7E3-8D46-BB5E-1FCF3A1429CB}"/>
                </c:ext>
              </c:extLst>
            </c:dLbl>
            <c:dLbl>
              <c:idx val="4"/>
              <c:tx>
                <c:rich>
                  <a:bodyPr/>
                  <a:lstStyle/>
                  <a:p>
                    <a:fld id="{7425D6D4-96AA-2843-89BC-1E398800CF3B}" type="CELLRANGE">
                      <a:rPr lang="en-US"/>
                      <a:pPr/>
                      <a:t>[PLAGECELL]</a:t>
                    </a:fld>
                    <a:r>
                      <a:rPr lang="en-US"/>
                      <a:t>%</a:t>
                    </a:r>
                    <a:endParaRPr lang="en-US" baseline="0"/>
                  </a:p>
                  <a:p>
                    <a:r>
                      <a:rPr lang="en-US"/>
                      <a:t>n=</a:t>
                    </a:r>
                    <a:fld id="{4A2EE5B3-F7B8-A14A-9B2E-AC276857DAE1}"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F7E3-8D46-BB5E-1FCF3A1429CB}"/>
                </c:ext>
              </c:extLst>
            </c:dLbl>
            <c:dLbl>
              <c:idx val="5"/>
              <c:tx>
                <c:rich>
                  <a:bodyPr/>
                  <a:lstStyle/>
                  <a:p>
                    <a:fld id="{422698C7-8265-8E4C-97E9-57A8EE40CC9D}" type="CELLRANGE">
                      <a:rPr lang="en-US"/>
                      <a:pPr/>
                      <a:t>[PLAGECELL]</a:t>
                    </a:fld>
                    <a:r>
                      <a:rPr lang="en-US"/>
                      <a:t>%</a:t>
                    </a:r>
                    <a:endParaRPr lang="en-US" baseline="0"/>
                  </a:p>
                  <a:p>
                    <a:r>
                      <a:rPr lang="en-US"/>
                      <a:t>n=</a:t>
                    </a:r>
                    <a:fld id="{AB5DC8B8-514C-004B-B0CD-CEFA7B4D3FE2}"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F7E3-8D46-BB5E-1FCF3A1429CB}"/>
                </c:ext>
              </c:extLst>
            </c:dLbl>
            <c:dLbl>
              <c:idx val="6"/>
              <c:tx>
                <c:rich>
                  <a:bodyPr/>
                  <a:lstStyle/>
                  <a:p>
                    <a:fld id="{A81618AF-758E-774A-8C66-5558950495DE}" type="CELLRANGE">
                      <a:rPr lang="en-US"/>
                      <a:pPr/>
                      <a:t>[PLAGECELL]</a:t>
                    </a:fld>
                    <a:r>
                      <a:rPr lang="en-US"/>
                      <a:t>%</a:t>
                    </a:r>
                    <a:endParaRPr lang="en-US" baseline="0"/>
                  </a:p>
                  <a:p>
                    <a:r>
                      <a:rPr lang="en-US"/>
                      <a:t>n=</a:t>
                    </a:r>
                    <a:fld id="{BB71AE41-E2BA-BA49-B8E3-175FAF68919C}"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F7E3-8D46-BB5E-1FCF3A1429CB}"/>
                </c:ext>
              </c:extLst>
            </c:dLbl>
            <c:dLbl>
              <c:idx val="7"/>
              <c:tx>
                <c:rich>
                  <a:bodyPr/>
                  <a:lstStyle/>
                  <a:p>
                    <a:fld id="{C7C2CD96-B213-A147-9A8B-037BB24F586E}" type="CELLRANGE">
                      <a:rPr lang="en-US"/>
                      <a:pPr/>
                      <a:t>[PLAGECELL]</a:t>
                    </a:fld>
                    <a:r>
                      <a:rPr lang="en-US"/>
                      <a:t>%</a:t>
                    </a:r>
                    <a:endParaRPr lang="en-US" baseline="0"/>
                  </a:p>
                  <a:p>
                    <a:r>
                      <a:rPr lang="en-US"/>
                      <a:t>n=</a:t>
                    </a:r>
                    <a:fld id="{4526F5E5-A373-7047-9B3C-4A7275893691}"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F7E3-8D46-BB5E-1FCF3A1429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cocaine_base!$AB$2:$AB$9</c:f>
              <c:strCache>
                <c:ptCount val="8"/>
                <c:pt idx="0">
                  <c:v>&lt;30</c:v>
                </c:pt>
                <c:pt idx="1">
                  <c:v>30-40</c:v>
                </c:pt>
                <c:pt idx="2">
                  <c:v>40-50</c:v>
                </c:pt>
                <c:pt idx="3">
                  <c:v>50-60</c:v>
                </c:pt>
                <c:pt idx="4">
                  <c:v>60-70</c:v>
                </c:pt>
                <c:pt idx="5">
                  <c:v>70-80</c:v>
                </c:pt>
                <c:pt idx="6">
                  <c:v>80-90</c:v>
                </c:pt>
                <c:pt idx="7">
                  <c:v>&gt;90</c:v>
                </c:pt>
              </c:strCache>
            </c:strRef>
          </c:cat>
          <c:val>
            <c:numRef>
              <c:f>cocaine_base!$AD$2:$AD$9</c:f>
              <c:numCache>
                <c:formatCode>General</c:formatCode>
                <c:ptCount val="8"/>
                <c:pt idx="0">
                  <c:v>0</c:v>
                </c:pt>
                <c:pt idx="1">
                  <c:v>0</c:v>
                </c:pt>
                <c:pt idx="2">
                  <c:v>1</c:v>
                </c:pt>
                <c:pt idx="3">
                  <c:v>1</c:v>
                </c:pt>
                <c:pt idx="4">
                  <c:v>7</c:v>
                </c:pt>
                <c:pt idx="5">
                  <c:v>56</c:v>
                </c:pt>
                <c:pt idx="6">
                  <c:v>80</c:v>
                </c:pt>
                <c:pt idx="7">
                  <c:v>11</c:v>
                </c:pt>
              </c:numCache>
            </c:numRef>
          </c:val>
          <c:extLst>
            <c:ext xmlns:c15="http://schemas.microsoft.com/office/drawing/2012/chart" uri="{02D57815-91ED-43cb-92C2-25804820EDAC}">
              <c15:datalabelsRange>
                <c15:f>cocaine_base!$AE$2:$AE$9</c15:f>
                <c15:dlblRangeCache>
                  <c:ptCount val="8"/>
                  <c:pt idx="0">
                    <c:v>0</c:v>
                  </c:pt>
                  <c:pt idx="1">
                    <c:v>0</c:v>
                  </c:pt>
                  <c:pt idx="2">
                    <c:v>1</c:v>
                  </c:pt>
                  <c:pt idx="3">
                    <c:v>1</c:v>
                  </c:pt>
                  <c:pt idx="4">
                    <c:v>4</c:v>
                  </c:pt>
                  <c:pt idx="5">
                    <c:v>36</c:v>
                  </c:pt>
                  <c:pt idx="6">
                    <c:v>51</c:v>
                  </c:pt>
                  <c:pt idx="7">
                    <c:v>7</c:v>
                  </c:pt>
                </c15:dlblRangeCache>
              </c15:datalabelsRange>
            </c:ext>
            <c:ext xmlns:c16="http://schemas.microsoft.com/office/drawing/2014/chart" uri="{C3380CC4-5D6E-409C-BE32-E72D297353CC}">
              <c16:uniqueId val="{00000008-F7E3-8D46-BB5E-1FCF3A1429CB}"/>
            </c:ext>
          </c:extLst>
        </c:ser>
        <c:dLbls>
          <c:dLblPos val="outEnd"/>
          <c:showLegendKey val="0"/>
          <c:showVal val="1"/>
          <c:showCatName val="0"/>
          <c:showSerName val="0"/>
          <c:showPercent val="0"/>
          <c:showBubbleSize val="0"/>
        </c:dLbls>
        <c:gapWidth val="219"/>
        <c:overlap val="-27"/>
        <c:axId val="1450824463"/>
        <c:axId val="1450310415"/>
      </c:barChart>
      <c:catAx>
        <c:axId val="145082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310415"/>
        <c:crosses val="autoZero"/>
        <c:auto val="1"/>
        <c:lblAlgn val="ctr"/>
        <c:lblOffset val="100"/>
        <c:noMultiLvlLbl val="0"/>
      </c:catAx>
      <c:valAx>
        <c:axId val="1450310415"/>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échantillons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824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Moyenne pureté crack à l'ECS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lineChart>
        <c:grouping val="standard"/>
        <c:varyColors val="0"/>
        <c:ser>
          <c:idx val="0"/>
          <c:order val="0"/>
          <c:tx>
            <c:strRef>
              <c:f>cocaine_base!$I$43</c:f>
              <c:strCache>
                <c:ptCount val="1"/>
                <c:pt idx="0">
                  <c:v>Moyenne</c:v>
                </c:pt>
              </c:strCache>
            </c:strRef>
          </c:tx>
          <c:spPr>
            <a:ln w="28575" cap="rnd">
              <a:solidFill>
                <a:schemeClr val="accent1">
                  <a:lumMod val="40000"/>
                  <a:lumOff val="60000"/>
                </a:schemeClr>
              </a:solidFill>
              <a:round/>
            </a:ln>
            <a:effectLst/>
          </c:spPr>
          <c:marker>
            <c:symbol val="circle"/>
            <c:size val="5"/>
            <c:spPr>
              <a:solidFill>
                <a:schemeClr val="accent5">
                  <a:lumMod val="20000"/>
                  <a:lumOff val="80000"/>
                </a:schemeClr>
              </a:solidFill>
              <a:ln w="9525">
                <a:solidFill>
                  <a:schemeClr val="bg1">
                    <a:lumMod val="50000"/>
                  </a:schemeClr>
                </a:solidFill>
              </a:ln>
              <a:effectLst/>
            </c:spPr>
          </c:marker>
          <c:dLbls>
            <c:dLbl>
              <c:idx val="0"/>
              <c:layout>
                <c:manualLayout>
                  <c:x val="-1.3632443211123809E-2"/>
                  <c:y val="-3.6524343474926002E-2"/>
                </c:manualLayout>
              </c:layout>
              <c:tx>
                <c:rich>
                  <a:bodyPr/>
                  <a:lstStyle/>
                  <a:p>
                    <a:fld id="{3E233F1B-1D3A-3143-8814-20A98F055B8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65F-D743-8373-2285F179BF91}"/>
                </c:ext>
              </c:extLst>
            </c:dLbl>
            <c:dLbl>
              <c:idx val="1"/>
              <c:layout>
                <c:manualLayout>
                  <c:x val="-3.1809034159288818E-2"/>
                  <c:y val="3.2871909127433367E-2"/>
                </c:manualLayout>
              </c:layout>
              <c:tx>
                <c:rich>
                  <a:bodyPr/>
                  <a:lstStyle/>
                  <a:p>
                    <a:fld id="{587F6D9E-0F72-9347-B362-F36A7B72D5A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65F-D743-8373-2285F179BF91}"/>
                </c:ext>
              </c:extLst>
            </c:dLbl>
            <c:dLbl>
              <c:idx val="2"/>
              <c:layout>
                <c:manualLayout>
                  <c:x val="-1.8176590948165049E-2"/>
                  <c:y val="-2.9219474779940829E-2"/>
                </c:manualLayout>
              </c:layout>
              <c:tx>
                <c:rich>
                  <a:bodyPr/>
                  <a:lstStyle/>
                  <a:p>
                    <a:fld id="{7D41683D-21A4-B642-8E32-FBEBA87AF19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65F-D743-8373-2285F179BF91}"/>
                </c:ext>
              </c:extLst>
            </c:dLbl>
            <c:dLbl>
              <c:idx val="3"/>
              <c:layout>
                <c:manualLayout>
                  <c:x val="-1.3632443211123788E-2"/>
                  <c:y val="-1.4609737389970415E-2"/>
                </c:manualLayout>
              </c:layout>
              <c:tx>
                <c:rich>
                  <a:bodyPr/>
                  <a:lstStyle/>
                  <a:p>
                    <a:fld id="{C64EE796-54CD-A54D-B044-B66C924E0A3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65F-D743-8373-2285F179BF91}"/>
                </c:ext>
              </c:extLst>
            </c:dLbl>
            <c:dLbl>
              <c:idx val="4"/>
              <c:layout>
                <c:manualLayout>
                  <c:x val="-1.3632443211123809E-2"/>
                  <c:y val="1.8262171737463088E-2"/>
                </c:manualLayout>
              </c:layout>
              <c:tx>
                <c:rich>
                  <a:bodyPr/>
                  <a:lstStyle/>
                  <a:p>
                    <a:fld id="{569A5ACC-8447-384B-AD37-BFB9FC84743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65F-D743-8373-2285F179BF91}"/>
                </c:ext>
              </c:extLst>
            </c:dLbl>
            <c:dLbl>
              <c:idx val="5"/>
              <c:layout>
                <c:manualLayout>
                  <c:x val="-9.0882954740825247E-3"/>
                  <c:y val="1.0957303042477745E-2"/>
                </c:manualLayout>
              </c:layout>
              <c:tx>
                <c:rich>
                  <a:bodyPr/>
                  <a:lstStyle/>
                  <a:p>
                    <a:fld id="{56B10FC6-6419-374F-B154-8234D0C8032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65F-D743-8373-2285F179BF91}"/>
                </c:ext>
              </c:extLst>
            </c:dLbl>
            <c:dLbl>
              <c:idx val="6"/>
              <c:layout>
                <c:manualLayout>
                  <c:x val="-2.7264886422247576E-2"/>
                  <c:y val="-2.5567040432448226E-2"/>
                </c:manualLayout>
              </c:layout>
              <c:tx>
                <c:rich>
                  <a:bodyPr/>
                  <a:lstStyle/>
                  <a:p>
                    <a:fld id="{49B202CE-0C9E-124A-B945-9358F57D9A4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65F-D743-8373-2285F179BF91}"/>
                </c:ext>
              </c:extLst>
            </c:dLbl>
            <c:dLbl>
              <c:idx val="7"/>
              <c:layout>
                <c:manualLayout>
                  <c:x val="-1.5904517079644419E-2"/>
                  <c:y val="2.5567040432448226E-2"/>
                </c:manualLayout>
              </c:layout>
              <c:tx>
                <c:rich>
                  <a:bodyPr/>
                  <a:lstStyle/>
                  <a:p>
                    <a:fld id="{6CDA4932-E816-DF41-8B06-DAAD2CCE81B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65F-D743-8373-2285F179BF91}"/>
                </c:ext>
              </c:extLst>
            </c:dLbl>
            <c:dLbl>
              <c:idx val="8"/>
              <c:layout>
                <c:manualLayout>
                  <c:x val="-3.1809034159288839E-2"/>
                  <c:y val="-3.6524343474926037E-2"/>
                </c:manualLayout>
              </c:layout>
              <c:tx>
                <c:rich>
                  <a:bodyPr/>
                  <a:lstStyle/>
                  <a:p>
                    <a:fld id="{F1191CCD-A561-D945-8987-433E9258311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65F-D743-8373-2285F179BF91}"/>
                </c:ext>
              </c:extLst>
            </c:dLbl>
            <c:dLbl>
              <c:idx val="9"/>
              <c:layout>
                <c:manualLayout>
                  <c:x val="-2.4992812553726942E-2"/>
                  <c:y val="2.1914606084955622E-2"/>
                </c:manualLayout>
              </c:layout>
              <c:tx>
                <c:rich>
                  <a:bodyPr/>
                  <a:lstStyle/>
                  <a:p>
                    <a:fld id="{8EE12B07-E403-C24F-82E0-FFE69E8E6E8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65F-D743-8373-2285F179BF91}"/>
                </c:ext>
              </c:extLst>
            </c:dLbl>
            <c:dLbl>
              <c:idx val="10"/>
              <c:layout>
                <c:manualLayout>
                  <c:x val="-2.9536960290768206E-2"/>
                  <c:y val="-2.9219474779940829E-2"/>
                </c:manualLayout>
              </c:layout>
              <c:tx>
                <c:rich>
                  <a:bodyPr/>
                  <a:lstStyle/>
                  <a:p>
                    <a:fld id="{B0273E8F-D3DD-E842-B782-377A5109D00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65F-D743-8373-2285F179BF91}"/>
                </c:ext>
              </c:extLst>
            </c:dLbl>
            <c:dLbl>
              <c:idx val="11"/>
              <c:layout>
                <c:manualLayout>
                  <c:x val="-2.0448664816685766E-2"/>
                  <c:y val="-3.2871909127433437E-2"/>
                </c:manualLayout>
              </c:layout>
              <c:tx>
                <c:rich>
                  <a:bodyPr/>
                  <a:lstStyle/>
                  <a:p>
                    <a:fld id="{AFF4777D-1E95-DD44-A48A-914669EB0CE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65F-D743-8373-2285F179BF91}"/>
                </c:ext>
              </c:extLst>
            </c:dLbl>
            <c:dLbl>
              <c:idx val="12"/>
              <c:layout>
                <c:manualLayout>
                  <c:x val="-2.9536960290768206E-2"/>
                  <c:y val="2.5567040432448226E-2"/>
                </c:manualLayout>
              </c:layout>
              <c:tx>
                <c:rich>
                  <a:bodyPr/>
                  <a:lstStyle/>
                  <a:p>
                    <a:fld id="{E8069D4C-01F3-6C4F-A924-F78BAB9F600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65F-D743-8373-2285F179BF91}"/>
                </c:ext>
              </c:extLst>
            </c:dLbl>
            <c:dLbl>
              <c:idx val="13"/>
              <c:layout>
                <c:manualLayout>
                  <c:x val="-1.8176590948165133E-2"/>
                  <c:y val="-3.2871909127433437E-2"/>
                </c:manualLayout>
              </c:layout>
              <c:tx>
                <c:rich>
                  <a:bodyPr/>
                  <a:lstStyle/>
                  <a:p>
                    <a:fld id="{52630A58-9EB8-4B4F-9CEF-C300BD02A94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165F-D743-8373-2285F179BF91}"/>
                </c:ext>
              </c:extLst>
            </c:dLbl>
            <c:dLbl>
              <c:idx val="14"/>
              <c:layout>
                <c:manualLayout>
                  <c:x val="-2.4992812553726942E-2"/>
                  <c:y val="-2.9219474779940829E-2"/>
                </c:manualLayout>
              </c:layout>
              <c:tx>
                <c:rich>
                  <a:bodyPr/>
                  <a:lstStyle/>
                  <a:p>
                    <a:fld id="{E117E4AE-85A6-4041-8AD6-9F37FFFD179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65F-D743-8373-2285F179BF91}"/>
                </c:ext>
              </c:extLst>
            </c:dLbl>
            <c:dLbl>
              <c:idx val="15"/>
              <c:layout>
                <c:manualLayout>
                  <c:x val="-2.4992812553726942E-2"/>
                  <c:y val="2.5567040432448226E-2"/>
                </c:manualLayout>
              </c:layout>
              <c:tx>
                <c:rich>
                  <a:bodyPr/>
                  <a:lstStyle/>
                  <a:p>
                    <a:fld id="{19318013-3FC8-4643-BF55-42FD3B0CCC9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165F-D743-8373-2285F179BF91}"/>
                </c:ext>
              </c:extLst>
            </c:dLbl>
            <c:dLbl>
              <c:idx val="16"/>
              <c:layout>
                <c:manualLayout>
                  <c:x val="-4.0897329633371449E-2"/>
                  <c:y val="-1.8262171737463018E-2"/>
                </c:manualLayout>
              </c:layout>
              <c:tx>
                <c:rich>
                  <a:bodyPr/>
                  <a:lstStyle/>
                  <a:p>
                    <a:fld id="{C47686F4-68BD-7D4C-8D52-B56B50B1B1A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165F-D743-8373-2285F179BF91}"/>
                </c:ext>
              </c:extLst>
            </c:dLbl>
            <c:dLbl>
              <c:idx val="17"/>
              <c:layout>
                <c:manualLayout>
                  <c:x val="-3.1809034159288922E-2"/>
                  <c:y val="-3.2871909127433437E-2"/>
                </c:manualLayout>
              </c:layout>
              <c:tx>
                <c:rich>
                  <a:bodyPr/>
                  <a:lstStyle/>
                  <a:p>
                    <a:fld id="{C504E8F3-E098-8C4F-9706-93D3AD1FEDA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165F-D743-8373-2285F179BF91}"/>
                </c:ext>
              </c:extLst>
            </c:dLbl>
            <c:dLbl>
              <c:idx val="18"/>
              <c:layout>
                <c:manualLayout>
                  <c:x val="-2.4992812553727026E-2"/>
                  <c:y val="2.5567040432448295E-2"/>
                </c:manualLayout>
              </c:layout>
              <c:tx>
                <c:rich>
                  <a:bodyPr/>
                  <a:lstStyle/>
                  <a:p>
                    <a:fld id="{110E8D54-B8F0-2446-BE48-B074F3E8F65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165F-D743-8373-2285F179BF91}"/>
                </c:ext>
              </c:extLst>
            </c:dLbl>
            <c:dLbl>
              <c:idx val="19"/>
              <c:layout>
                <c:manualLayout>
                  <c:x val="-2.2720738685206313E-2"/>
                  <c:y val="-3.6524343474926037E-2"/>
                </c:manualLayout>
              </c:layout>
              <c:tx>
                <c:rich>
                  <a:bodyPr/>
                  <a:lstStyle/>
                  <a:p>
                    <a:fld id="{7D471FE4-9B90-1946-9E14-06BDEF094D0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65F-D743-8373-2285F179BF91}"/>
                </c:ext>
              </c:extLst>
            </c:dLbl>
            <c:dLbl>
              <c:idx val="20"/>
              <c:layout>
                <c:manualLayout>
                  <c:x val="-2.2720738685206313E-2"/>
                  <c:y val="2.5567040432448226E-2"/>
                </c:manualLayout>
              </c:layout>
              <c:tx>
                <c:rich>
                  <a:bodyPr/>
                  <a:lstStyle/>
                  <a:p>
                    <a:fld id="{027854EF-BE95-EF44-9AAF-F070FF437B6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165F-D743-8373-2285F179BF91}"/>
                </c:ext>
              </c:extLst>
            </c:dLbl>
            <c:dLbl>
              <c:idx val="21"/>
              <c:layout>
                <c:manualLayout>
                  <c:x val="-1.8176590948165049E-2"/>
                  <c:y val="-3.6524343474926037E-2"/>
                </c:manualLayout>
              </c:layout>
              <c:tx>
                <c:rich>
                  <a:bodyPr/>
                  <a:lstStyle/>
                  <a:p>
                    <a:fld id="{F166AC1B-7F95-6F44-8C92-F84955BDC51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165F-D743-8373-2285F179BF91}"/>
                </c:ext>
              </c:extLst>
            </c:dLbl>
            <c:dLbl>
              <c:idx val="22"/>
              <c:layout>
                <c:manualLayout>
                  <c:x val="-1.1360369342603156E-2"/>
                  <c:y val="-1.8262171737463018E-2"/>
                </c:manualLayout>
              </c:layout>
              <c:tx>
                <c:rich>
                  <a:bodyPr/>
                  <a:lstStyle/>
                  <a:p>
                    <a:fld id="{5A772B58-66E2-5444-8CCF-9434943FD7A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165F-D743-8373-2285F179BF91}"/>
                </c:ext>
              </c:extLst>
            </c:dLbl>
            <c:dLbl>
              <c:idx val="23"/>
              <c:layout>
                <c:manualLayout>
                  <c:x val="-2.7264886422247659E-2"/>
                  <c:y val="2.5567040432448226E-2"/>
                </c:manualLayout>
              </c:layout>
              <c:tx>
                <c:rich>
                  <a:bodyPr/>
                  <a:lstStyle/>
                  <a:p>
                    <a:fld id="{F2369CFE-B5FB-9446-B420-463BBCA6602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65F-D743-8373-2285F179BF91}"/>
                </c:ext>
              </c:extLst>
            </c:dLbl>
            <c:dLbl>
              <c:idx val="24"/>
              <c:layout>
                <c:manualLayout>
                  <c:x val="-2.2720738685206313E-2"/>
                  <c:y val="2.5567040432448226E-2"/>
                </c:manualLayout>
              </c:layout>
              <c:tx>
                <c:rich>
                  <a:bodyPr/>
                  <a:lstStyle/>
                  <a:p>
                    <a:fld id="{AA1EAE03-7FFB-E342-93AB-A454797D0BE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165F-D743-8373-2285F179BF91}"/>
                </c:ext>
              </c:extLst>
            </c:dLbl>
            <c:dLbl>
              <c:idx val="25"/>
              <c:layout>
                <c:manualLayout>
                  <c:x val="-2.4992812553727026E-2"/>
                  <c:y val="-3.2871909127433437E-2"/>
                </c:manualLayout>
              </c:layout>
              <c:tx>
                <c:rich>
                  <a:bodyPr/>
                  <a:lstStyle/>
                  <a:p>
                    <a:fld id="{5EEEEA75-B71C-094A-9CB1-774DED247A4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165F-D743-8373-2285F179BF91}"/>
                </c:ext>
              </c:extLst>
            </c:dLbl>
            <c:dLbl>
              <c:idx val="26"/>
              <c:layout>
                <c:manualLayout>
                  <c:x val="-2.2720738685206313E-2"/>
                  <c:y val="2.1914606084955622E-2"/>
                </c:manualLayout>
              </c:layout>
              <c:tx>
                <c:rich>
                  <a:bodyPr/>
                  <a:lstStyle/>
                  <a:p>
                    <a:fld id="{6F73D536-CAEA-8348-AAA9-86E708C4120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165F-D743-8373-2285F179BF91}"/>
                </c:ext>
              </c:extLst>
            </c:dLbl>
            <c:dLbl>
              <c:idx val="27"/>
              <c:layout>
                <c:manualLayout>
                  <c:x val="-3.6353181896330099E-2"/>
                  <c:y val="-1.8262171737463018E-2"/>
                </c:manualLayout>
              </c:layout>
              <c:tx>
                <c:rich>
                  <a:bodyPr/>
                  <a:lstStyle/>
                  <a:p>
                    <a:fld id="{58E20F8A-65F4-C94B-B593-3981949B8AA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165F-D743-8373-2285F179BF91}"/>
                </c:ext>
              </c:extLst>
            </c:dLbl>
            <c:dLbl>
              <c:idx val="28"/>
              <c:layout>
                <c:manualLayout>
                  <c:x val="-2.7264886422247576E-2"/>
                  <c:y val="-2.9219474779940829E-2"/>
                </c:manualLayout>
              </c:layout>
              <c:tx>
                <c:rich>
                  <a:bodyPr/>
                  <a:lstStyle/>
                  <a:p>
                    <a:fld id="{8755A975-8B8F-1D4F-828A-B7AC700843F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165F-D743-8373-2285F179BF91}"/>
                </c:ext>
              </c:extLst>
            </c:dLbl>
            <c:dLbl>
              <c:idx val="29"/>
              <c:layout>
                <c:manualLayout>
                  <c:x val="-2.0448664816685683E-2"/>
                  <c:y val="2.5567040432448226E-2"/>
                </c:manualLayout>
              </c:layout>
              <c:tx>
                <c:rich>
                  <a:bodyPr/>
                  <a:lstStyle/>
                  <a:p>
                    <a:fld id="{FEF8F780-500F-2043-BBFD-CBFBEF9AFC5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65F-D743-8373-2285F179BF91}"/>
                </c:ext>
              </c:extLst>
            </c:dLbl>
            <c:dLbl>
              <c:idx val="30"/>
              <c:layout>
                <c:manualLayout>
                  <c:x val="-2.9536960290768206E-2"/>
                  <c:y val="-3.2871909127433437E-2"/>
                </c:manualLayout>
              </c:layout>
              <c:tx>
                <c:rich>
                  <a:bodyPr/>
                  <a:lstStyle/>
                  <a:p>
                    <a:fld id="{A9DF20BE-FAFC-FC44-BEAE-A9DD3D8FF2E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165F-D743-8373-2285F179BF91}"/>
                </c:ext>
              </c:extLst>
            </c:dLbl>
            <c:dLbl>
              <c:idx val="31"/>
              <c:layout>
                <c:manualLayout>
                  <c:x val="-2.7264886422247576E-2"/>
                  <c:y val="-2.5567040432448195E-2"/>
                </c:manualLayout>
              </c:layout>
              <c:tx>
                <c:rich>
                  <a:bodyPr/>
                  <a:lstStyle/>
                  <a:p>
                    <a:fld id="{4177A3C7-E2BB-9A44-ACC4-15FA3FF1CA9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165F-D743-8373-2285F179BF91}"/>
                </c:ext>
              </c:extLst>
            </c:dLbl>
            <c:dLbl>
              <c:idx val="32"/>
              <c:layout>
                <c:manualLayout>
                  <c:x val="-2.4992812553726942E-2"/>
                  <c:y val="3.2871909127433367E-2"/>
                </c:manualLayout>
              </c:layout>
              <c:tx>
                <c:rich>
                  <a:bodyPr/>
                  <a:lstStyle/>
                  <a:p>
                    <a:fld id="{540670CA-58EB-7B4F-B9FB-D1A9A0CF92D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165F-D743-8373-2285F179BF91}"/>
                </c:ext>
              </c:extLst>
            </c:dLbl>
            <c:dLbl>
              <c:idx val="33"/>
              <c:layout>
                <c:manualLayout>
                  <c:x val="-1.1360369342603156E-2"/>
                  <c:y val="1.0957303042477745E-2"/>
                </c:manualLayout>
              </c:layout>
              <c:tx>
                <c:rich>
                  <a:bodyPr/>
                  <a:lstStyle/>
                  <a:p>
                    <a:fld id="{C38674E6-1968-C640-AE3A-1571D5E033D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165F-D743-8373-2285F179BF91}"/>
                </c:ext>
              </c:extLst>
            </c:dLbl>
            <c:dLbl>
              <c:idx val="34"/>
              <c:layout>
                <c:manualLayout>
                  <c:x val="-3.6353181896330099E-2"/>
                  <c:y val="-3.2871909127433402E-2"/>
                </c:manualLayout>
              </c:layout>
              <c:tx>
                <c:rich>
                  <a:bodyPr/>
                  <a:lstStyle/>
                  <a:p>
                    <a:fld id="{8ACB834C-E487-9C45-AB66-72E57E64B2E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165F-D743-8373-2285F179BF91}"/>
                </c:ext>
              </c:extLst>
            </c:dLbl>
            <c:dLbl>
              <c:idx val="35"/>
              <c:layout>
                <c:manualLayout>
                  <c:x val="-2.2720738685206313E-2"/>
                  <c:y val="-3.2871909127433437E-2"/>
                </c:manualLayout>
              </c:layout>
              <c:tx>
                <c:rich>
                  <a:bodyPr/>
                  <a:lstStyle/>
                  <a:p>
                    <a:fld id="{F2709F53-EB80-6B48-B261-8CBC8BB4F4E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165F-D743-8373-2285F179BF91}"/>
                </c:ext>
              </c:extLst>
            </c:dLbl>
            <c:dLbl>
              <c:idx val="36"/>
              <c:layout>
                <c:manualLayout>
                  <c:x val="-2.9536960290768206E-2"/>
                  <c:y val="2.5567040432448226E-2"/>
                </c:manualLayout>
              </c:layout>
              <c:tx>
                <c:rich>
                  <a:bodyPr/>
                  <a:lstStyle/>
                  <a:p>
                    <a:fld id="{2E26F036-5DAC-A54D-8EA2-56957D9460B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165F-D743-8373-2285F179BF91}"/>
                </c:ext>
              </c:extLst>
            </c:dLbl>
            <c:dLbl>
              <c:idx val="37"/>
              <c:layout>
                <c:manualLayout>
                  <c:x val="-1.5904517079644419E-2"/>
                  <c:y val="2.1914606084955622E-2"/>
                </c:manualLayout>
              </c:layout>
              <c:tx>
                <c:rich>
                  <a:bodyPr/>
                  <a:lstStyle/>
                  <a:p>
                    <a:fld id="{C17CE05A-001F-F84E-8DF3-442BF6BAB04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165F-D743-8373-2285F179BF91}"/>
                </c:ext>
              </c:extLst>
            </c:dLbl>
            <c:dLbl>
              <c:idx val="38"/>
              <c:layout>
                <c:manualLayout>
                  <c:x val="-3.6353181896330099E-2"/>
                  <c:y val="-2.556704043244826E-2"/>
                </c:manualLayout>
              </c:layout>
              <c:tx>
                <c:rich>
                  <a:bodyPr/>
                  <a:lstStyle/>
                  <a:p>
                    <a:fld id="{FEF07844-2678-5B42-AF5A-28D3C5F79B2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165F-D743-8373-2285F179BF91}"/>
                </c:ext>
              </c:extLst>
            </c:dLbl>
            <c:dLbl>
              <c:idx val="39"/>
              <c:layout>
                <c:manualLayout>
                  <c:x val="-2.4992812553727109E-2"/>
                  <c:y val="-2.9219474779940864E-2"/>
                </c:manualLayout>
              </c:layout>
              <c:tx>
                <c:rich>
                  <a:bodyPr/>
                  <a:lstStyle/>
                  <a:p>
                    <a:fld id="{DEB810E8-D6E8-2446-9291-665D5EF2090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165F-D743-8373-2285F179BF91}"/>
                </c:ext>
              </c:extLst>
            </c:dLbl>
            <c:dLbl>
              <c:idx val="40"/>
              <c:layout>
                <c:manualLayout>
                  <c:x val="-1.1360369342603156E-2"/>
                  <c:y val="-1.8262171737463018E-2"/>
                </c:manualLayout>
              </c:layout>
              <c:tx>
                <c:rich>
                  <a:bodyPr/>
                  <a:lstStyle/>
                  <a:p>
                    <a:fld id="{544B4C64-EB9F-D943-BA57-2ABD821ACC7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165F-D743-8373-2285F179BF91}"/>
                </c:ext>
              </c:extLst>
            </c:dLbl>
            <c:dLbl>
              <c:idx val="41"/>
              <c:layout>
                <c:manualLayout>
                  <c:x val="-3.6353181896330265E-2"/>
                  <c:y val="7.3048686949852074E-3"/>
                </c:manualLayout>
              </c:layout>
              <c:tx>
                <c:rich>
                  <a:bodyPr/>
                  <a:lstStyle/>
                  <a:p>
                    <a:fld id="{D2B05650-F20B-9742-801A-D789AF20425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165F-D743-8373-2285F179BF91}"/>
                </c:ext>
              </c:extLst>
            </c:dLbl>
            <c:dLbl>
              <c:idx val="42"/>
              <c:layout>
                <c:manualLayout>
                  <c:x val="-1.1360369342603156E-2"/>
                  <c:y val="1.0957303042477745E-2"/>
                </c:manualLayout>
              </c:layout>
              <c:tx>
                <c:rich>
                  <a:bodyPr/>
                  <a:lstStyle/>
                  <a:p>
                    <a:fld id="{9D52BD45-E12C-CD4D-8AFC-E9EF950211B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165F-D743-8373-2285F179BF91}"/>
                </c:ext>
              </c:extLst>
            </c:dLbl>
            <c:dLbl>
              <c:idx val="43"/>
              <c:layout>
                <c:manualLayout>
                  <c:x val="-3.8625255764850729E-2"/>
                  <c:y val="-3.2871909127433437E-2"/>
                </c:manualLayout>
              </c:layout>
              <c:tx>
                <c:rich>
                  <a:bodyPr/>
                  <a:lstStyle/>
                  <a:p>
                    <a:fld id="{14F24EA5-7FC3-3847-BF65-88C57D7268E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165F-D743-8373-2285F179BF91}"/>
                </c:ext>
              </c:extLst>
            </c:dLbl>
            <c:dLbl>
              <c:idx val="44"/>
              <c:layout>
                <c:manualLayout>
                  <c:x val="-1.8176590948165216E-2"/>
                  <c:y val="-2.9219474779940829E-2"/>
                </c:manualLayout>
              </c:layout>
              <c:tx>
                <c:rich>
                  <a:bodyPr/>
                  <a:lstStyle/>
                  <a:p>
                    <a:fld id="{3BC0FE32-99F2-704E-8713-6CADA42685B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165F-D743-8373-2285F179BF91}"/>
                </c:ext>
              </c:extLst>
            </c:dLbl>
            <c:dLbl>
              <c:idx val="45"/>
              <c:layout>
                <c:manualLayout>
                  <c:x val="-9.0882954740826912E-3"/>
                  <c:y val="-1.8262171737463018E-2"/>
                </c:manualLayout>
              </c:layout>
              <c:tx>
                <c:rich>
                  <a:bodyPr/>
                  <a:lstStyle/>
                  <a:p>
                    <a:fld id="{7CC5DFA8-1E26-7D40-85D4-05FAB9EE099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165F-D743-8373-2285F179BF91}"/>
                </c:ext>
              </c:extLst>
            </c:dLbl>
            <c:dLbl>
              <c:idx val="46"/>
              <c:layout>
                <c:manualLayout>
                  <c:x val="-2.5018208492114953E-2"/>
                  <c:y val="2.5221933151947287E-2"/>
                </c:manualLayout>
              </c:layout>
              <c:tx>
                <c:rich>
                  <a:bodyPr/>
                  <a:lstStyle/>
                  <a:p>
                    <a:fld id="{A464E3E0-6C77-0340-9FE4-01F20A85E17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FC2-CC47-8A7E-478D97EDE39C}"/>
                </c:ext>
              </c:extLst>
            </c:dLbl>
            <c:dLbl>
              <c:idx val="47"/>
              <c:layout>
                <c:manualLayout>
                  <c:x val="-2.046935376910862E-2"/>
                  <c:y val="-2.882492460372626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fld id="{B293E88D-1DB9-804D-ABCB-153B89A2BA37}" type="CELLRANGE">
                      <a:rPr lang="en-US"/>
                      <a:pPr>
                        <a:defRPr/>
                      </a:pPr>
                      <a:t>[PLAGECELL]</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r"/>
              <c:showLegendKey val="0"/>
              <c:showVal val="0"/>
              <c:showCatName val="0"/>
              <c:showSerName val="0"/>
              <c:showPercent val="0"/>
              <c:showBubbleSize val="0"/>
              <c:extLst>
                <c:ext xmlns:c15="http://schemas.microsoft.com/office/drawing/2012/chart" uri="{CE6537A1-D6FC-4f65-9D91-7224C49458BB}">
                  <c15:layout>
                    <c:manualLayout>
                      <c:w val="2.5029490862444083E-2"/>
                      <c:h val="6.8027156844109149E-2"/>
                    </c:manualLayout>
                  </c15:layout>
                  <c15:dlblFieldTable/>
                  <c15:showDataLabelsRange val="1"/>
                </c:ext>
                <c:ext xmlns:c16="http://schemas.microsoft.com/office/drawing/2014/chart" uri="{C3380CC4-5D6E-409C-BE32-E72D297353CC}">
                  <c16:uniqueId val="{00000001-AFC2-CC47-8A7E-478D97EDE39C}"/>
                </c:ext>
              </c:extLst>
            </c:dLbl>
            <c:dLbl>
              <c:idx val="48"/>
              <c:layout>
                <c:manualLayout>
                  <c:x val="-1.5795312112200446E-2"/>
                  <c:y val="-3.4783488188418241E-2"/>
                </c:manualLayout>
              </c:layout>
              <c:tx>
                <c:rich>
                  <a:bodyPr/>
                  <a:lstStyle/>
                  <a:p>
                    <a:fld id="{BFFC0475-E4F7-3949-ACDE-113C175EDF9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C82-4D4B-91D3-6F13D5F5AAC6}"/>
                </c:ext>
              </c:extLst>
            </c:dLbl>
            <c:dLbl>
              <c:idx val="49"/>
              <c:layout>
                <c:manualLayout>
                  <c:x val="-6.8198566020924384E-3"/>
                  <c:y val="-4.428930297313385E-3"/>
                </c:manualLayout>
              </c:layout>
              <c:tx>
                <c:rich>
                  <a:bodyPr/>
                  <a:lstStyle/>
                  <a:p>
                    <a:fld id="{FC15CB81-E71A-D845-A62D-63F3DF1A8C3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F65-3A40-8D0A-20E851B8F98A}"/>
                </c:ext>
              </c:extLst>
            </c:dLbl>
            <c:dLbl>
              <c:idx val="50"/>
              <c:layout>
                <c:manualLayout>
                  <c:x val="-2.9334313631252221E-2"/>
                  <c:y val="3.6307343088668467E-2"/>
                </c:manualLayout>
              </c:layout>
              <c:tx>
                <c:rich>
                  <a:bodyPr/>
                  <a:lstStyle/>
                  <a:p>
                    <a:fld id="{D8ABCEC6-53C2-194E-8F8C-6753D87DA4A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51A-7C4E-B546-D0042972C81C}"/>
                </c:ext>
              </c:extLst>
            </c:dLbl>
            <c:dLbl>
              <c:idx val="51"/>
              <c:tx>
                <c:rich>
                  <a:bodyPr/>
                  <a:lstStyle/>
                  <a:p>
                    <a:endParaRPr lang="fr-FR"/>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451A-7C4E-B546-D0042972C81C}"/>
                </c:ext>
              </c:extLst>
            </c:dLbl>
            <c:dLbl>
              <c:idx val="52"/>
              <c:tx>
                <c:rich>
                  <a:bodyPr/>
                  <a:lstStyle/>
                  <a:p>
                    <a:endParaRPr lang="fr-FR"/>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51A-7C4E-B546-D0042972C81C}"/>
                </c:ext>
              </c:extLst>
            </c:dLbl>
            <c:dLbl>
              <c:idx val="53"/>
              <c:tx>
                <c:rich>
                  <a:bodyPr/>
                  <a:lstStyle/>
                  <a:p>
                    <a:endParaRPr lang="fr-FR"/>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51A-7C4E-B546-D0042972C81C}"/>
                </c:ext>
              </c:extLst>
            </c:dLbl>
            <c:dLbl>
              <c:idx val="54"/>
              <c:tx>
                <c:rich>
                  <a:bodyPr/>
                  <a:lstStyle/>
                  <a:p>
                    <a:endParaRPr lang="fr-FR"/>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51A-7C4E-B546-D0042972C8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cocaine_base!$H$44:$H$98</c:f>
              <c:numCache>
                <c:formatCode>m/d/yy</c:formatCode>
                <c:ptCount val="55"/>
                <c:pt idx="0">
                  <c:v>44872</c:v>
                </c:pt>
                <c:pt idx="1">
                  <c:v>44909</c:v>
                </c:pt>
                <c:pt idx="2">
                  <c:v>44916</c:v>
                </c:pt>
                <c:pt idx="3">
                  <c:v>44937</c:v>
                </c:pt>
                <c:pt idx="4">
                  <c:v>44958</c:v>
                </c:pt>
                <c:pt idx="5">
                  <c:v>44979</c:v>
                </c:pt>
                <c:pt idx="6">
                  <c:v>45014</c:v>
                </c:pt>
                <c:pt idx="7">
                  <c:v>45042</c:v>
                </c:pt>
                <c:pt idx="8">
                  <c:v>45070</c:v>
                </c:pt>
                <c:pt idx="9">
                  <c:v>45210</c:v>
                </c:pt>
                <c:pt idx="10">
                  <c:v>45245</c:v>
                </c:pt>
                <c:pt idx="11">
                  <c:v>45315</c:v>
                </c:pt>
                <c:pt idx="12">
                  <c:v>45352</c:v>
                </c:pt>
                <c:pt idx="13">
                  <c:v>45392</c:v>
                </c:pt>
                <c:pt idx="14">
                  <c:v>45483</c:v>
                </c:pt>
                <c:pt idx="15">
                  <c:v>45518</c:v>
                </c:pt>
                <c:pt idx="16">
                  <c:v>45553</c:v>
                </c:pt>
                <c:pt idx="17">
                  <c:v>45567</c:v>
                </c:pt>
                <c:pt idx="18">
                  <c:v>45581</c:v>
                </c:pt>
                <c:pt idx="19">
                  <c:v>45595</c:v>
                </c:pt>
                <c:pt idx="20">
                  <c:v>45609</c:v>
                </c:pt>
                <c:pt idx="21">
                  <c:v>45623</c:v>
                </c:pt>
                <c:pt idx="22">
                  <c:v>45637</c:v>
                </c:pt>
                <c:pt idx="23">
                  <c:v>45644</c:v>
                </c:pt>
                <c:pt idx="24">
                  <c:v>45665</c:v>
                </c:pt>
                <c:pt idx="25">
                  <c:v>45679</c:v>
                </c:pt>
                <c:pt idx="26">
                  <c:v>45693</c:v>
                </c:pt>
                <c:pt idx="27">
                  <c:v>45721</c:v>
                </c:pt>
                <c:pt idx="28">
                  <c:v>45735</c:v>
                </c:pt>
                <c:pt idx="29">
                  <c:v>45749</c:v>
                </c:pt>
                <c:pt idx="30">
                  <c:v>45763</c:v>
                </c:pt>
                <c:pt idx="31">
                  <c:v>45777</c:v>
                </c:pt>
                <c:pt idx="32">
                  <c:v>45791</c:v>
                </c:pt>
                <c:pt idx="33">
                  <c:v>45805</c:v>
                </c:pt>
                <c:pt idx="34">
                  <c:v>45819</c:v>
                </c:pt>
                <c:pt idx="35">
                  <c:v>45833</c:v>
                </c:pt>
                <c:pt idx="36">
                  <c:v>45847</c:v>
                </c:pt>
                <c:pt idx="37">
                  <c:v>45861</c:v>
                </c:pt>
                <c:pt idx="38">
                  <c:v>45889</c:v>
                </c:pt>
                <c:pt idx="39">
                  <c:v>45903</c:v>
                </c:pt>
                <c:pt idx="40">
                  <c:v>45917</c:v>
                </c:pt>
                <c:pt idx="41">
                  <c:v>45931</c:v>
                </c:pt>
                <c:pt idx="42">
                  <c:v>45945</c:v>
                </c:pt>
                <c:pt idx="43">
                  <c:v>45959</c:v>
                </c:pt>
                <c:pt idx="44">
                  <c:v>45973</c:v>
                </c:pt>
                <c:pt idx="45">
                  <c:v>45987</c:v>
                </c:pt>
                <c:pt idx="46">
                  <c:v>46043</c:v>
                </c:pt>
                <c:pt idx="47">
                  <c:v>46057</c:v>
                </c:pt>
                <c:pt idx="48">
                  <c:v>46085</c:v>
                </c:pt>
                <c:pt idx="49">
                  <c:v>46099</c:v>
                </c:pt>
                <c:pt idx="50">
                  <c:v>46113</c:v>
                </c:pt>
              </c:numCache>
            </c:numRef>
          </c:cat>
          <c:val>
            <c:numRef>
              <c:f>cocaine_base!$I$44:$I$98</c:f>
              <c:numCache>
                <c:formatCode>General</c:formatCode>
                <c:ptCount val="55"/>
                <c:pt idx="0">
                  <c:v>82.3</c:v>
                </c:pt>
                <c:pt idx="1">
                  <c:v>80.2</c:v>
                </c:pt>
                <c:pt idx="2">
                  <c:v>83.6</c:v>
                </c:pt>
                <c:pt idx="3">
                  <c:v>79.2</c:v>
                </c:pt>
                <c:pt idx="4" formatCode="0.0">
                  <c:v>69.099999999999994</c:v>
                </c:pt>
                <c:pt idx="5" formatCode="0.0">
                  <c:v>75.650000000000006</c:v>
                </c:pt>
                <c:pt idx="6" formatCode="0.0">
                  <c:v>81.599999999999994</c:v>
                </c:pt>
                <c:pt idx="7" formatCode="0.0">
                  <c:v>78.674999999999997</c:v>
                </c:pt>
                <c:pt idx="8" formatCode="0.0">
                  <c:v>85</c:v>
                </c:pt>
                <c:pt idx="9" formatCode="0.0">
                  <c:v>77.550000000000011</c:v>
                </c:pt>
                <c:pt idx="10" formatCode="0.0">
                  <c:v>80.566666666666663</c:v>
                </c:pt>
                <c:pt idx="11" formatCode="0.0">
                  <c:v>79.199999999999989</c:v>
                </c:pt>
                <c:pt idx="12" formatCode="0.0">
                  <c:v>75.75</c:v>
                </c:pt>
                <c:pt idx="13" formatCode="0.0">
                  <c:v>77.150000000000006</c:v>
                </c:pt>
                <c:pt idx="14" formatCode="0.0">
                  <c:v>77.599999999999994</c:v>
                </c:pt>
                <c:pt idx="15" formatCode="0.0">
                  <c:v>75.533333333333317</c:v>
                </c:pt>
                <c:pt idx="16" formatCode="0.0">
                  <c:v>81.100000000000009</c:v>
                </c:pt>
                <c:pt idx="17" formatCode="0.0">
                  <c:v>87.1</c:v>
                </c:pt>
                <c:pt idx="18" formatCode="0.0">
                  <c:v>72.733333333333334</c:v>
                </c:pt>
                <c:pt idx="19" formatCode="0.0">
                  <c:v>84.266666666666666</c:v>
                </c:pt>
                <c:pt idx="20" formatCode="0.0">
                  <c:v>76.533333333333346</c:v>
                </c:pt>
                <c:pt idx="21" formatCode="0.0">
                  <c:v>82.85</c:v>
                </c:pt>
                <c:pt idx="22">
                  <c:v>81.300000000000011</c:v>
                </c:pt>
                <c:pt idx="23">
                  <c:v>76.699999999999989</c:v>
                </c:pt>
                <c:pt idx="24">
                  <c:v>78.300000000000011</c:v>
                </c:pt>
                <c:pt idx="25">
                  <c:v>81.199999999999989</c:v>
                </c:pt>
                <c:pt idx="26">
                  <c:v>61.849999999999994</c:v>
                </c:pt>
                <c:pt idx="27" formatCode="0.0">
                  <c:v>78.05</c:v>
                </c:pt>
                <c:pt idx="28" formatCode="0.0">
                  <c:v>79.383333333333326</c:v>
                </c:pt>
                <c:pt idx="29">
                  <c:v>74.899999999999991</c:v>
                </c:pt>
                <c:pt idx="30" formatCode="0.0">
                  <c:v>78.966666666666669</c:v>
                </c:pt>
                <c:pt idx="31" formatCode="0.0">
                  <c:v>83.750000000000014</c:v>
                </c:pt>
                <c:pt idx="32" formatCode="0.0">
                  <c:v>77.566666666666663</c:v>
                </c:pt>
                <c:pt idx="33">
                  <c:v>79.960000000000008</c:v>
                </c:pt>
                <c:pt idx="34">
                  <c:v>83.6</c:v>
                </c:pt>
                <c:pt idx="35" formatCode="0.0">
                  <c:v>86.566666666666663</c:v>
                </c:pt>
                <c:pt idx="36">
                  <c:v>82.4</c:v>
                </c:pt>
                <c:pt idx="37">
                  <c:v>82.5</c:v>
                </c:pt>
                <c:pt idx="38">
                  <c:v>85.9</c:v>
                </c:pt>
                <c:pt idx="39" formatCode="0.0">
                  <c:v>87.025000000000006</c:v>
                </c:pt>
                <c:pt idx="40">
                  <c:v>86.3</c:v>
                </c:pt>
                <c:pt idx="41" formatCode="0.0">
                  <c:v>83.775000000000006</c:v>
                </c:pt>
                <c:pt idx="42" formatCode="0.0">
                  <c:v>81.05</c:v>
                </c:pt>
                <c:pt idx="43">
                  <c:v>88.8</c:v>
                </c:pt>
                <c:pt idx="44" formatCode="0.0">
                  <c:v>87.55</c:v>
                </c:pt>
                <c:pt idx="45" formatCode="0.0">
                  <c:v>87.05</c:v>
                </c:pt>
                <c:pt idx="46">
                  <c:v>87.919999999999987</c:v>
                </c:pt>
                <c:pt idx="47">
                  <c:v>88.3</c:v>
                </c:pt>
                <c:pt idx="48">
                  <c:v>88.64</c:v>
                </c:pt>
                <c:pt idx="49">
                  <c:v>87.1</c:v>
                </c:pt>
                <c:pt idx="50">
                  <c:v>81.25</c:v>
                </c:pt>
              </c:numCache>
            </c:numRef>
          </c:val>
          <c:smooth val="0"/>
          <c:extLst>
            <c:ext xmlns:c15="http://schemas.microsoft.com/office/drawing/2012/chart" uri="{02D57815-91ED-43cb-92C2-25804820EDAC}">
              <c15:datalabelsRange>
                <c15:f>cocaine_base!$J$44:$J$98</c15:f>
                <c15:dlblRangeCache>
                  <c:ptCount val="55"/>
                  <c:pt idx="0">
                    <c:v>1</c:v>
                  </c:pt>
                  <c:pt idx="1">
                    <c:v>1</c:v>
                  </c:pt>
                  <c:pt idx="2">
                    <c:v>2</c:v>
                  </c:pt>
                  <c:pt idx="3">
                    <c:v>1</c:v>
                  </c:pt>
                  <c:pt idx="4">
                    <c:v>1</c:v>
                  </c:pt>
                  <c:pt idx="5">
                    <c:v>2</c:v>
                  </c:pt>
                  <c:pt idx="6">
                    <c:v>1</c:v>
                  </c:pt>
                  <c:pt idx="7">
                    <c:v>4</c:v>
                  </c:pt>
                  <c:pt idx="8">
                    <c:v>2</c:v>
                  </c:pt>
                  <c:pt idx="9">
                    <c:v>4</c:v>
                  </c:pt>
                  <c:pt idx="10">
                    <c:v>3</c:v>
                  </c:pt>
                  <c:pt idx="11">
                    <c:v>2</c:v>
                  </c:pt>
                  <c:pt idx="12">
                    <c:v>2</c:v>
                  </c:pt>
                  <c:pt idx="13">
                    <c:v>2</c:v>
                  </c:pt>
                  <c:pt idx="14">
                    <c:v>5</c:v>
                  </c:pt>
                  <c:pt idx="15">
                    <c:v>3</c:v>
                  </c:pt>
                  <c:pt idx="16">
                    <c:v>3</c:v>
                  </c:pt>
                  <c:pt idx="17">
                    <c:v>1</c:v>
                  </c:pt>
                  <c:pt idx="18">
                    <c:v>3</c:v>
                  </c:pt>
                  <c:pt idx="19">
                    <c:v>3</c:v>
                  </c:pt>
                  <c:pt idx="20">
                    <c:v>6</c:v>
                  </c:pt>
                  <c:pt idx="21">
                    <c:v>4</c:v>
                  </c:pt>
                  <c:pt idx="22">
                    <c:v>2</c:v>
                  </c:pt>
                  <c:pt idx="23">
                    <c:v>2</c:v>
                  </c:pt>
                  <c:pt idx="24">
                    <c:v>6</c:v>
                  </c:pt>
                  <c:pt idx="25">
                    <c:v>2</c:v>
                  </c:pt>
                  <c:pt idx="26">
                    <c:v>2</c:v>
                  </c:pt>
                  <c:pt idx="27">
                    <c:v>4</c:v>
                  </c:pt>
                  <c:pt idx="28">
                    <c:v>6</c:v>
                  </c:pt>
                  <c:pt idx="29">
                    <c:v>3</c:v>
                  </c:pt>
                  <c:pt idx="30">
                    <c:v>3</c:v>
                  </c:pt>
                  <c:pt idx="31">
                    <c:v>4</c:v>
                  </c:pt>
                  <c:pt idx="32">
                    <c:v>3</c:v>
                  </c:pt>
                  <c:pt idx="33">
                    <c:v>5</c:v>
                  </c:pt>
                  <c:pt idx="34">
                    <c:v>1</c:v>
                  </c:pt>
                  <c:pt idx="35">
                    <c:v>3</c:v>
                  </c:pt>
                  <c:pt idx="36">
                    <c:v>2</c:v>
                  </c:pt>
                  <c:pt idx="37">
                    <c:v>3</c:v>
                  </c:pt>
                  <c:pt idx="38">
                    <c:v>1</c:v>
                  </c:pt>
                  <c:pt idx="39">
                    <c:v>4</c:v>
                  </c:pt>
                  <c:pt idx="40">
                    <c:v>6</c:v>
                  </c:pt>
                  <c:pt idx="41">
                    <c:v>4</c:v>
                  </c:pt>
                  <c:pt idx="42">
                    <c:v>4</c:v>
                  </c:pt>
                  <c:pt idx="43">
                    <c:v>1</c:v>
                  </c:pt>
                  <c:pt idx="44">
                    <c:v>2</c:v>
                  </c:pt>
                  <c:pt idx="45">
                    <c:v>4</c:v>
                  </c:pt>
                  <c:pt idx="46">
                    <c:v>5</c:v>
                  </c:pt>
                  <c:pt idx="47">
                    <c:v>3</c:v>
                  </c:pt>
                  <c:pt idx="48">
                    <c:v>5</c:v>
                  </c:pt>
                  <c:pt idx="49">
                    <c:v>2</c:v>
                  </c:pt>
                  <c:pt idx="50">
                    <c:v>8</c:v>
                  </c:pt>
                </c15:dlblRangeCache>
              </c15:datalabelsRange>
            </c:ext>
            <c:ext xmlns:c16="http://schemas.microsoft.com/office/drawing/2014/chart" uri="{C3380CC4-5D6E-409C-BE32-E72D297353CC}">
              <c16:uniqueId val="{00000000-1372-294A-98C2-7990E603DFC7}"/>
            </c:ext>
          </c:extLst>
        </c:ser>
        <c:dLbls>
          <c:dLblPos val="r"/>
          <c:showLegendKey val="0"/>
          <c:showVal val="1"/>
          <c:showCatName val="0"/>
          <c:showSerName val="0"/>
          <c:showPercent val="0"/>
          <c:showBubbleSize val="0"/>
        </c:dLbls>
        <c:marker val="1"/>
        <c:smooth val="0"/>
        <c:axId val="675367103"/>
        <c:axId val="675968639"/>
      </c:lineChart>
      <c:dateAx>
        <c:axId val="675367103"/>
        <c:scaling>
          <c:orientation val="minMax"/>
          <c:max val="46113"/>
          <c:min val="44866"/>
        </c:scaling>
        <c:delete val="0"/>
        <c:axPos val="b"/>
        <c:majorGridlines>
          <c:spPr>
            <a:ln w="9525" cap="flat" cmpd="sng" algn="ctr">
              <a:solidFill>
                <a:schemeClr val="tx1">
                  <a:lumMod val="15000"/>
                  <a:lumOff val="85000"/>
                </a:schemeClr>
              </a:solidFill>
              <a:round/>
            </a:ln>
            <a:effectLst/>
          </c:spPr>
        </c:majorGridlines>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968639"/>
        <c:crosses val="autoZero"/>
        <c:auto val="1"/>
        <c:lblOffset val="100"/>
        <c:baseTimeUnit val="days"/>
        <c:majorUnit val="2"/>
        <c:majorTimeUnit val="months"/>
      </c:dateAx>
      <c:valAx>
        <c:axId val="675968639"/>
        <c:scaling>
          <c:orientation val="minMax"/>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3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héroïne (n=112) - Ordre croissant</a:t>
            </a:r>
            <a:endParaRPr lang="fr-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CH"/>
        </a:p>
      </c:txPr>
    </c:title>
    <c:autoTitleDeleted val="0"/>
    <c:plotArea>
      <c:layout>
        <c:manualLayout>
          <c:layoutTarget val="inner"/>
          <c:xMode val="edge"/>
          <c:yMode val="edge"/>
          <c:x val="8.9032625260756837E-2"/>
          <c:y val="0.19483814523184603"/>
          <c:w val="0.88796726722109121"/>
          <c:h val="0.65634604053360912"/>
        </c:manualLayout>
      </c:layout>
      <c:scatterChart>
        <c:scatterStyle val="lineMarker"/>
        <c:varyColors val="0"/>
        <c:ser>
          <c:idx val="0"/>
          <c:order val="0"/>
          <c:tx>
            <c:strRef>
              <c:f>Hero!$V$1</c:f>
              <c:strCache>
                <c:ptCount val="1"/>
                <c:pt idx="0">
                  <c:v>pureté Base</c:v>
                </c:pt>
              </c:strCache>
            </c:strRef>
          </c:tx>
          <c:spPr>
            <a:ln w="25400" cap="rnd">
              <a:noFill/>
              <a:round/>
            </a:ln>
            <a:effectLst/>
          </c:spPr>
          <c:marker>
            <c:symbol val="circle"/>
            <c:size val="5"/>
            <c:spPr>
              <a:solidFill>
                <a:schemeClr val="accent5">
                  <a:lumMod val="20000"/>
                  <a:lumOff val="80000"/>
                </a:schemeClr>
              </a:solidFill>
              <a:ln w="9525">
                <a:solidFill>
                  <a:schemeClr val="bg1">
                    <a:lumMod val="65000"/>
                  </a:schemeClr>
                </a:solidFill>
              </a:ln>
              <a:effectLst/>
            </c:spPr>
          </c:marker>
          <c:xVal>
            <c:numRef>
              <c:f>Hero!$V$2:$V$150</c:f>
              <c:numCache>
                <c:formatCode>0.0</c:formatCode>
                <c:ptCount val="149"/>
                <c:pt idx="0">
                  <c:v>0.29580000000000001</c:v>
                </c:pt>
                <c:pt idx="1">
                  <c:v>0.30449999999999999</c:v>
                </c:pt>
                <c:pt idx="2">
                  <c:v>0.30449999999999999</c:v>
                </c:pt>
                <c:pt idx="3" formatCode="General">
                  <c:v>2.4</c:v>
                </c:pt>
                <c:pt idx="4" formatCode="General">
                  <c:v>3.7</c:v>
                </c:pt>
                <c:pt idx="5" formatCode="General">
                  <c:v>3.7</c:v>
                </c:pt>
                <c:pt idx="6">
                  <c:v>4.524</c:v>
                </c:pt>
                <c:pt idx="7">
                  <c:v>4.7850000000000001</c:v>
                </c:pt>
                <c:pt idx="8">
                  <c:v>4.8719999999999999</c:v>
                </c:pt>
                <c:pt idx="9">
                  <c:v>5.3069999999999995</c:v>
                </c:pt>
                <c:pt idx="10" formatCode="General">
                  <c:v>5.4</c:v>
                </c:pt>
                <c:pt idx="11" formatCode="General">
                  <c:v>5.5</c:v>
                </c:pt>
                <c:pt idx="12" formatCode="General">
                  <c:v>5.6</c:v>
                </c:pt>
                <c:pt idx="13" formatCode="General">
                  <c:v>6.8</c:v>
                </c:pt>
                <c:pt idx="14" formatCode="General">
                  <c:v>6.9</c:v>
                </c:pt>
                <c:pt idx="15" formatCode="General">
                  <c:v>6.9</c:v>
                </c:pt>
                <c:pt idx="16" formatCode="General">
                  <c:v>7.1</c:v>
                </c:pt>
                <c:pt idx="17" formatCode="General">
                  <c:v>7.3</c:v>
                </c:pt>
                <c:pt idx="18" formatCode="General">
                  <c:v>7.5</c:v>
                </c:pt>
                <c:pt idx="19" formatCode="General">
                  <c:v>7.6</c:v>
                </c:pt>
                <c:pt idx="20" formatCode="General">
                  <c:v>8.1</c:v>
                </c:pt>
                <c:pt idx="21" formatCode="General">
                  <c:v>8.1999999999999993</c:v>
                </c:pt>
                <c:pt idx="22" formatCode="General">
                  <c:v>8.3000000000000007</c:v>
                </c:pt>
                <c:pt idx="23" formatCode="General">
                  <c:v>8.5</c:v>
                </c:pt>
                <c:pt idx="24" formatCode="General">
                  <c:v>8.5</c:v>
                </c:pt>
                <c:pt idx="25" formatCode="General">
                  <c:v>8.9</c:v>
                </c:pt>
                <c:pt idx="26">
                  <c:v>8.9</c:v>
                </c:pt>
                <c:pt idx="27" formatCode="General">
                  <c:v>9.1</c:v>
                </c:pt>
                <c:pt idx="28" formatCode="General">
                  <c:v>9.4</c:v>
                </c:pt>
                <c:pt idx="29" formatCode="General">
                  <c:v>9.6999999999999993</c:v>
                </c:pt>
                <c:pt idx="30" formatCode="General">
                  <c:v>9.8000000000000007</c:v>
                </c:pt>
                <c:pt idx="31" formatCode="General">
                  <c:v>9.9</c:v>
                </c:pt>
                <c:pt idx="32" formatCode="General">
                  <c:v>10.3</c:v>
                </c:pt>
                <c:pt idx="33">
                  <c:v>10.5</c:v>
                </c:pt>
                <c:pt idx="34" formatCode="General">
                  <c:v>10.8</c:v>
                </c:pt>
                <c:pt idx="35" formatCode="General">
                  <c:v>10.9</c:v>
                </c:pt>
                <c:pt idx="36" formatCode="General">
                  <c:v>11</c:v>
                </c:pt>
                <c:pt idx="37" formatCode="General">
                  <c:v>11</c:v>
                </c:pt>
                <c:pt idx="38" formatCode="General">
                  <c:v>11.1</c:v>
                </c:pt>
                <c:pt idx="39" formatCode="General">
                  <c:v>11.3</c:v>
                </c:pt>
                <c:pt idx="40" formatCode="General">
                  <c:v>11.4</c:v>
                </c:pt>
                <c:pt idx="41" formatCode="General">
                  <c:v>11.5</c:v>
                </c:pt>
                <c:pt idx="42" formatCode="General">
                  <c:v>11.5</c:v>
                </c:pt>
                <c:pt idx="43" formatCode="General">
                  <c:v>11.5</c:v>
                </c:pt>
                <c:pt idx="44" formatCode="General">
                  <c:v>11.5</c:v>
                </c:pt>
                <c:pt idx="45" formatCode="General">
                  <c:v>11.6</c:v>
                </c:pt>
                <c:pt idx="46" formatCode="General">
                  <c:v>11.8</c:v>
                </c:pt>
                <c:pt idx="47" formatCode="General">
                  <c:v>11.8</c:v>
                </c:pt>
                <c:pt idx="48" formatCode="General">
                  <c:v>11.8</c:v>
                </c:pt>
                <c:pt idx="49" formatCode="General">
                  <c:v>11.9</c:v>
                </c:pt>
                <c:pt idx="50" formatCode="General">
                  <c:v>11.9</c:v>
                </c:pt>
                <c:pt idx="51" formatCode="General">
                  <c:v>12</c:v>
                </c:pt>
                <c:pt idx="52" formatCode="General">
                  <c:v>12.1</c:v>
                </c:pt>
                <c:pt idx="53" formatCode="General">
                  <c:v>12.3</c:v>
                </c:pt>
                <c:pt idx="54" formatCode="General">
                  <c:v>12.3</c:v>
                </c:pt>
                <c:pt idx="55" formatCode="General">
                  <c:v>12.4</c:v>
                </c:pt>
                <c:pt idx="56" formatCode="General">
                  <c:v>12.4</c:v>
                </c:pt>
                <c:pt idx="57" formatCode="General">
                  <c:v>12.5</c:v>
                </c:pt>
                <c:pt idx="58" formatCode="General">
                  <c:v>12.5</c:v>
                </c:pt>
                <c:pt idx="59" formatCode="General">
                  <c:v>12.6</c:v>
                </c:pt>
                <c:pt idx="60" formatCode="General">
                  <c:v>12.6</c:v>
                </c:pt>
                <c:pt idx="61" formatCode="General">
                  <c:v>12.8</c:v>
                </c:pt>
                <c:pt idx="62" formatCode="General">
                  <c:v>12.8</c:v>
                </c:pt>
                <c:pt idx="63" formatCode="General">
                  <c:v>12.8</c:v>
                </c:pt>
                <c:pt idx="64" formatCode="General">
                  <c:v>12.9</c:v>
                </c:pt>
                <c:pt idx="65" formatCode="General">
                  <c:v>12.9</c:v>
                </c:pt>
                <c:pt idx="66" formatCode="General">
                  <c:v>12.9</c:v>
                </c:pt>
                <c:pt idx="67" formatCode="General">
                  <c:v>13</c:v>
                </c:pt>
                <c:pt idx="68" formatCode="General">
                  <c:v>13</c:v>
                </c:pt>
                <c:pt idx="69" formatCode="General">
                  <c:v>13.1</c:v>
                </c:pt>
                <c:pt idx="70" formatCode="General">
                  <c:v>13.2</c:v>
                </c:pt>
                <c:pt idx="71" formatCode="General">
                  <c:v>13.2</c:v>
                </c:pt>
                <c:pt idx="72" formatCode="General">
                  <c:v>13.3</c:v>
                </c:pt>
                <c:pt idx="73" formatCode="General">
                  <c:v>13.6</c:v>
                </c:pt>
                <c:pt idx="74" formatCode="General">
                  <c:v>13.8</c:v>
                </c:pt>
                <c:pt idx="75" formatCode="General">
                  <c:v>13.9</c:v>
                </c:pt>
                <c:pt idx="76" formatCode="General">
                  <c:v>14.1</c:v>
                </c:pt>
                <c:pt idx="77" formatCode="General">
                  <c:v>14.1</c:v>
                </c:pt>
                <c:pt idx="78" formatCode="General">
                  <c:v>14.2</c:v>
                </c:pt>
                <c:pt idx="79" formatCode="General">
                  <c:v>14.2</c:v>
                </c:pt>
                <c:pt idx="80" formatCode="General">
                  <c:v>14.3</c:v>
                </c:pt>
                <c:pt idx="81" formatCode="General">
                  <c:v>14.5</c:v>
                </c:pt>
                <c:pt idx="82" formatCode="General">
                  <c:v>14.6</c:v>
                </c:pt>
                <c:pt idx="83" formatCode="General">
                  <c:v>14.7</c:v>
                </c:pt>
                <c:pt idx="84" formatCode="General">
                  <c:v>15.1</c:v>
                </c:pt>
                <c:pt idx="85" formatCode="General">
                  <c:v>15.1</c:v>
                </c:pt>
                <c:pt idx="86" formatCode="General">
                  <c:v>15.2</c:v>
                </c:pt>
                <c:pt idx="87" formatCode="General">
                  <c:v>15.4</c:v>
                </c:pt>
                <c:pt idx="88" formatCode="General">
                  <c:v>15.4</c:v>
                </c:pt>
                <c:pt idx="89" formatCode="General">
                  <c:v>15.5</c:v>
                </c:pt>
                <c:pt idx="90" formatCode="General">
                  <c:v>15.8</c:v>
                </c:pt>
                <c:pt idx="91" formatCode="General">
                  <c:v>15.8</c:v>
                </c:pt>
                <c:pt idx="92" formatCode="General">
                  <c:v>15.9</c:v>
                </c:pt>
                <c:pt idx="93" formatCode="General">
                  <c:v>15.9</c:v>
                </c:pt>
                <c:pt idx="94" formatCode="General">
                  <c:v>16.100000000000001</c:v>
                </c:pt>
                <c:pt idx="95" formatCode="General">
                  <c:v>16.600000000000001</c:v>
                </c:pt>
                <c:pt idx="96" formatCode="General">
                  <c:v>16.7</c:v>
                </c:pt>
                <c:pt idx="97" formatCode="General">
                  <c:v>16.7</c:v>
                </c:pt>
                <c:pt idx="98" formatCode="General">
                  <c:v>17.3</c:v>
                </c:pt>
                <c:pt idx="99" formatCode="General">
                  <c:v>17.3</c:v>
                </c:pt>
                <c:pt idx="100" formatCode="General">
                  <c:v>18.2</c:v>
                </c:pt>
                <c:pt idx="101" formatCode="General">
                  <c:v>18.5</c:v>
                </c:pt>
                <c:pt idx="102" formatCode="General">
                  <c:v>18.5</c:v>
                </c:pt>
                <c:pt idx="103" formatCode="General">
                  <c:v>18.600000000000001</c:v>
                </c:pt>
                <c:pt idx="104" formatCode="General">
                  <c:v>18.899999999999999</c:v>
                </c:pt>
                <c:pt idx="105" formatCode="General">
                  <c:v>19.2</c:v>
                </c:pt>
                <c:pt idx="106" formatCode="General">
                  <c:v>19.8</c:v>
                </c:pt>
                <c:pt idx="107" formatCode="General">
                  <c:v>20</c:v>
                </c:pt>
                <c:pt idx="108" formatCode="General">
                  <c:v>21</c:v>
                </c:pt>
                <c:pt idx="109" formatCode="General">
                  <c:v>21.7</c:v>
                </c:pt>
                <c:pt idx="110" formatCode="General">
                  <c:v>21.8</c:v>
                </c:pt>
                <c:pt idx="111" formatCode="General">
                  <c:v>41.2</c:v>
                </c:pt>
              </c:numCache>
            </c:numRef>
          </c:xVal>
          <c:yVal>
            <c:numRef>
              <c:f>Hero!$S$2:$S$150</c:f>
              <c:numCache>
                <c:formatCode>General</c:formatCode>
                <c:ptCount val="1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numCache>
            </c:numRef>
          </c:yVal>
          <c:smooth val="0"/>
          <c:extLst>
            <c:ext xmlns:c16="http://schemas.microsoft.com/office/drawing/2014/chart" uri="{C3380CC4-5D6E-409C-BE32-E72D297353CC}">
              <c16:uniqueId val="{00000000-08F3-5D4E-98A5-4E62ED286EEE}"/>
            </c:ext>
          </c:extLst>
        </c:ser>
        <c:dLbls>
          <c:showLegendKey val="0"/>
          <c:showVal val="0"/>
          <c:showCatName val="0"/>
          <c:showSerName val="0"/>
          <c:showPercent val="0"/>
          <c:showBubbleSize val="0"/>
        </c:dLbls>
        <c:axId val="1602375247"/>
        <c:axId val="1602376895"/>
      </c:scatterChart>
      <c:valAx>
        <c:axId val="1602375247"/>
        <c:scaling>
          <c:orientation val="minMax"/>
          <c:max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layout>
            <c:manualLayout>
              <c:xMode val="edge"/>
              <c:yMode val="edge"/>
              <c:x val="0.46621592311760107"/>
              <c:y val="0.916469057197237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602376895"/>
        <c:crosses val="autoZero"/>
        <c:crossBetween val="midCat"/>
      </c:valAx>
      <c:valAx>
        <c:axId val="1602376895"/>
        <c:scaling>
          <c:orientation val="minMax"/>
          <c:max val="12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échantillons</a:t>
                </a:r>
              </a:p>
            </c:rich>
          </c:tx>
          <c:layout>
            <c:manualLayout>
              <c:xMode val="edge"/>
              <c:yMode val="edge"/>
              <c:x val="1.3641808593721648E-2"/>
              <c:y val="0.418345675976990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602375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heroïne (n=112)</a:t>
            </a:r>
          </a:p>
        </c:rich>
      </c:tx>
      <c:layout>
        <c:manualLayout>
          <c:xMode val="edge"/>
          <c:yMode val="edge"/>
          <c:x val="0.24030887243814683"/>
          <c:y val="3.0117665903366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stacked"/>
        <c:varyColors val="0"/>
        <c:ser>
          <c:idx val="0"/>
          <c:order val="0"/>
          <c:tx>
            <c:strRef>
              <c:f>Hero!$G$29</c:f>
              <c:strCache>
                <c:ptCount val="1"/>
                <c:pt idx="0">
                  <c:v>min</c:v>
                </c:pt>
              </c:strCache>
            </c:strRef>
          </c:tx>
          <c:spPr>
            <a:noFill/>
            <a:ln>
              <a:noFill/>
            </a:ln>
            <a:effectLst/>
          </c:spPr>
          <c:invertIfNegative val="0"/>
          <c:cat>
            <c:strRef>
              <c:f>Hero!$H$28</c:f>
              <c:strCache>
                <c:ptCount val="1"/>
                <c:pt idx="0">
                  <c:v>Héroïne base </c:v>
                </c:pt>
              </c:strCache>
            </c:strRef>
          </c:cat>
          <c:val>
            <c:numRef>
              <c:f>Hero!$H$29</c:f>
              <c:numCache>
                <c:formatCode>General</c:formatCode>
                <c:ptCount val="1"/>
                <c:pt idx="0">
                  <c:v>0.29580000000000001</c:v>
                </c:pt>
              </c:numCache>
            </c:numRef>
          </c:val>
          <c:extLst>
            <c:ext xmlns:c16="http://schemas.microsoft.com/office/drawing/2014/chart" uri="{C3380CC4-5D6E-409C-BE32-E72D297353CC}">
              <c16:uniqueId val="{00000000-2740-2A41-A588-76189DB7B36F}"/>
            </c:ext>
          </c:extLst>
        </c:ser>
        <c:ser>
          <c:idx val="1"/>
          <c:order val="1"/>
          <c:tx>
            <c:strRef>
              <c:f>Hero!$G$30</c:f>
              <c:strCache>
                <c:ptCount val="1"/>
                <c:pt idx="0">
                  <c:v>1-min</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Hero!$H$28</c:f>
              <c:strCache>
                <c:ptCount val="1"/>
                <c:pt idx="0">
                  <c:v>Héroïne base </c:v>
                </c:pt>
              </c:strCache>
            </c:strRef>
          </c:cat>
          <c:val>
            <c:numRef>
              <c:f>Hero!$H$30</c:f>
              <c:numCache>
                <c:formatCode>General</c:formatCode>
                <c:ptCount val="1"/>
                <c:pt idx="0">
                  <c:v>9.0291999999999994</c:v>
                </c:pt>
              </c:numCache>
            </c:numRef>
          </c:val>
          <c:extLst>
            <c:ext xmlns:c16="http://schemas.microsoft.com/office/drawing/2014/chart" uri="{C3380CC4-5D6E-409C-BE32-E72D297353CC}">
              <c16:uniqueId val="{00000001-2740-2A41-A588-76189DB7B36F}"/>
            </c:ext>
          </c:extLst>
        </c:ser>
        <c:ser>
          <c:idx val="2"/>
          <c:order val="2"/>
          <c:tx>
            <c:strRef>
              <c:f>Hero!$G$31</c:f>
              <c:strCache>
                <c:ptCount val="1"/>
                <c:pt idx="0">
                  <c:v>méd-1</c:v>
                </c:pt>
              </c:strCache>
            </c:strRef>
          </c:tx>
          <c:spPr>
            <a:solidFill>
              <a:schemeClr val="accent5">
                <a:lumMod val="20000"/>
                <a:lumOff val="80000"/>
              </a:schemeClr>
            </a:solidFill>
            <a:ln>
              <a:solidFill>
                <a:schemeClr val="tx1">
                  <a:lumMod val="50000"/>
                  <a:lumOff val="50000"/>
                </a:schemeClr>
              </a:solidFill>
            </a:ln>
            <a:effectLst/>
          </c:spPr>
          <c:invertIfNegative val="0"/>
          <c:cat>
            <c:strRef>
              <c:f>Hero!$H$28</c:f>
              <c:strCache>
                <c:ptCount val="1"/>
                <c:pt idx="0">
                  <c:v>Héroïne base </c:v>
                </c:pt>
              </c:strCache>
            </c:strRef>
          </c:cat>
          <c:val>
            <c:numRef>
              <c:f>Hero!$H$31</c:f>
              <c:numCache>
                <c:formatCode>General</c:formatCode>
                <c:ptCount val="1"/>
                <c:pt idx="0">
                  <c:v>3.0750000000000011</c:v>
                </c:pt>
              </c:numCache>
            </c:numRef>
          </c:val>
          <c:extLst>
            <c:ext xmlns:c16="http://schemas.microsoft.com/office/drawing/2014/chart" uri="{C3380CC4-5D6E-409C-BE32-E72D297353CC}">
              <c16:uniqueId val="{00000002-2740-2A41-A588-76189DB7B36F}"/>
            </c:ext>
          </c:extLst>
        </c:ser>
        <c:ser>
          <c:idx val="3"/>
          <c:order val="3"/>
          <c:tx>
            <c:strRef>
              <c:f>Hero!$G$32</c:f>
              <c:strCache>
                <c:ptCount val="1"/>
                <c:pt idx="0">
                  <c:v>3-méd</c:v>
                </c:pt>
              </c:strCache>
            </c:strRef>
          </c:tx>
          <c:spPr>
            <a:solidFill>
              <a:schemeClr val="accent5">
                <a:lumMod val="20000"/>
                <a:lumOff val="80000"/>
              </a:schemeClr>
            </a:solidFill>
            <a:ln>
              <a:solidFill>
                <a:schemeClr val="tx1">
                  <a:lumMod val="50000"/>
                  <a:lumOff val="50000"/>
                </a:schemeClr>
              </a:solidFill>
            </a:ln>
            <a:effectLst/>
          </c:spPr>
          <c:invertIfNegative val="0"/>
          <c:cat>
            <c:strRef>
              <c:f>Hero!$H$28</c:f>
              <c:strCache>
                <c:ptCount val="1"/>
                <c:pt idx="0">
                  <c:v>Héroïne base </c:v>
                </c:pt>
              </c:strCache>
            </c:strRef>
          </c:cat>
          <c:val>
            <c:numRef>
              <c:f>Hero!$H$32</c:f>
              <c:numCache>
                <c:formatCode>General</c:formatCode>
                <c:ptCount val="1"/>
                <c:pt idx="0">
                  <c:v>2.3999999999999986</c:v>
                </c:pt>
              </c:numCache>
            </c:numRef>
          </c:val>
          <c:extLst>
            <c:ext xmlns:c16="http://schemas.microsoft.com/office/drawing/2014/chart" uri="{C3380CC4-5D6E-409C-BE32-E72D297353CC}">
              <c16:uniqueId val="{00000003-2740-2A41-A588-76189DB7B36F}"/>
            </c:ext>
          </c:extLst>
        </c:ser>
        <c:ser>
          <c:idx val="4"/>
          <c:order val="4"/>
          <c:tx>
            <c:strRef>
              <c:f>Hero!$G$33</c:f>
              <c:strCache>
                <c:ptCount val="1"/>
                <c:pt idx="0">
                  <c:v>max-3</c:v>
                </c:pt>
              </c:strCache>
            </c:strRef>
          </c:tx>
          <c:spPr>
            <a:solidFill>
              <a:schemeClr val="accent5"/>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5-2740-2A41-A588-76189DB7B36F}"/>
              </c:ext>
            </c:extLst>
          </c:dPt>
          <c:errBars>
            <c:errBarType val="minus"/>
            <c:errValType val="percentage"/>
            <c:noEndCap val="1"/>
            <c:val val="100"/>
            <c:spPr>
              <a:noFill/>
              <a:ln w="9525" cap="flat" cmpd="sng" algn="ctr">
                <a:solidFill>
                  <a:schemeClr val="tx1">
                    <a:lumMod val="65000"/>
                    <a:lumOff val="35000"/>
                  </a:schemeClr>
                </a:solidFill>
                <a:round/>
              </a:ln>
              <a:effectLst/>
            </c:spPr>
          </c:errBars>
          <c:cat>
            <c:strRef>
              <c:f>Hero!$H$28</c:f>
              <c:strCache>
                <c:ptCount val="1"/>
                <c:pt idx="0">
                  <c:v>Héroïne base </c:v>
                </c:pt>
              </c:strCache>
            </c:strRef>
          </c:cat>
          <c:val>
            <c:numRef>
              <c:f>Hero!$H$33</c:f>
              <c:numCache>
                <c:formatCode>General</c:formatCode>
                <c:ptCount val="1"/>
                <c:pt idx="0">
                  <c:v>26.400000000000006</c:v>
                </c:pt>
              </c:numCache>
            </c:numRef>
          </c:val>
          <c:extLst>
            <c:ext xmlns:c16="http://schemas.microsoft.com/office/drawing/2014/chart" uri="{C3380CC4-5D6E-409C-BE32-E72D297353CC}">
              <c16:uniqueId val="{00000004-2740-2A41-A588-76189DB7B36F}"/>
            </c:ext>
          </c:extLst>
        </c:ser>
        <c:dLbls>
          <c:showLegendKey val="0"/>
          <c:showVal val="0"/>
          <c:showCatName val="0"/>
          <c:showSerName val="0"/>
          <c:showPercent val="0"/>
          <c:showBubbleSize val="0"/>
        </c:dLbls>
        <c:gapWidth val="150"/>
        <c:overlap val="100"/>
        <c:axId val="70560415"/>
        <c:axId val="71165055"/>
      </c:barChart>
      <c:catAx>
        <c:axId val="70560415"/>
        <c:scaling>
          <c:orientation val="minMax"/>
        </c:scaling>
        <c:delete val="1"/>
        <c:axPos val="b"/>
        <c:numFmt formatCode="General" sourceLinked="1"/>
        <c:majorTickMark val="none"/>
        <c:minorTickMark val="none"/>
        <c:tickLblPos val="nextTo"/>
        <c:crossAx val="71165055"/>
        <c:crosses val="autoZero"/>
        <c:auto val="1"/>
        <c:lblAlgn val="ctr"/>
        <c:lblOffset val="100"/>
        <c:noMultiLvlLbl val="0"/>
      </c:catAx>
      <c:valAx>
        <c:axId val="7116505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7056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Distribution de la pureté - Héroïne (n=112)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clustered"/>
        <c:varyColors val="0"/>
        <c:ser>
          <c:idx val="1"/>
          <c:order val="0"/>
          <c:tx>
            <c:strRef>
              <c:f>Hero!$Z$2</c:f>
              <c:strCache>
                <c:ptCount val="1"/>
                <c:pt idx="0">
                  <c:v>Frequence</c:v>
                </c:pt>
              </c:strCache>
            </c:strRef>
          </c:tx>
          <c:spPr>
            <a:solidFill>
              <a:schemeClr val="accent5">
                <a:lumMod val="20000"/>
                <a:lumOff val="80000"/>
              </a:schemeClr>
            </a:solidFill>
            <a:ln>
              <a:solidFill>
                <a:schemeClr val="bg1">
                  <a:lumMod val="65000"/>
                </a:schemeClr>
              </a:solidFill>
            </a:ln>
            <a:effectLst/>
          </c:spPr>
          <c:invertIfNegative val="0"/>
          <c:dLbls>
            <c:dLbl>
              <c:idx val="0"/>
              <c:tx>
                <c:rich>
                  <a:bodyPr/>
                  <a:lstStyle/>
                  <a:p>
                    <a:fld id="{F1643AF6-5590-4748-8964-E77A350AF663}" type="CELLRANGE">
                      <a:rPr lang="en-US"/>
                      <a:pPr/>
                      <a:t>[PLAGECELL]</a:t>
                    </a:fld>
                    <a:r>
                      <a:rPr lang="en-US"/>
                      <a:t>%</a:t>
                    </a:r>
                    <a:endParaRPr lang="en-US" baseline="0"/>
                  </a:p>
                  <a:p>
                    <a:r>
                      <a:rPr lang="en-US"/>
                      <a:t>n=</a:t>
                    </a:r>
                    <a:fld id="{C7B5B9E9-44BE-0C42-A41E-32AC19801B4F}"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1225-B244-9CF9-1DA7859BA442}"/>
                </c:ext>
              </c:extLst>
            </c:dLbl>
            <c:dLbl>
              <c:idx val="1"/>
              <c:tx>
                <c:rich>
                  <a:bodyPr/>
                  <a:lstStyle/>
                  <a:p>
                    <a:fld id="{501D7C0A-AE74-2245-8EA8-944998E2FE19}" type="CELLRANGE">
                      <a:rPr lang="en-US"/>
                      <a:pPr/>
                      <a:t>[PLAGECELL]</a:t>
                    </a:fld>
                    <a:r>
                      <a:rPr lang="en-US"/>
                      <a:t>%</a:t>
                    </a:r>
                    <a:endParaRPr lang="en-US" baseline="0"/>
                  </a:p>
                  <a:p>
                    <a:r>
                      <a:rPr lang="en-US"/>
                      <a:t>n=</a:t>
                    </a:r>
                    <a:fld id="{3A3180DF-F6EA-1D49-9232-2FD14E6356E3}"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1225-B244-9CF9-1DA7859BA442}"/>
                </c:ext>
              </c:extLst>
            </c:dLbl>
            <c:dLbl>
              <c:idx val="2"/>
              <c:tx>
                <c:rich>
                  <a:bodyPr/>
                  <a:lstStyle/>
                  <a:p>
                    <a:fld id="{32A0E937-2FEA-3948-82FF-82128531AE55}" type="CELLRANGE">
                      <a:rPr lang="en-US"/>
                      <a:pPr/>
                      <a:t>[PLAGECELL]</a:t>
                    </a:fld>
                    <a:r>
                      <a:rPr lang="en-US"/>
                      <a:t>%</a:t>
                    </a:r>
                    <a:endParaRPr lang="en-US" baseline="0"/>
                  </a:p>
                  <a:p>
                    <a:r>
                      <a:rPr lang="en-US"/>
                      <a:t>n=</a:t>
                    </a:r>
                    <a:fld id="{5EA443B7-1012-D44C-83CB-5408FB4F9AAA}"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1225-B244-9CF9-1DA7859BA442}"/>
                </c:ext>
              </c:extLst>
            </c:dLbl>
            <c:dLbl>
              <c:idx val="3"/>
              <c:tx>
                <c:rich>
                  <a:bodyPr/>
                  <a:lstStyle/>
                  <a:p>
                    <a:fld id="{3988506D-61E8-A44D-B7F0-C30643361AC9}" type="CELLRANGE">
                      <a:rPr lang="en-US"/>
                      <a:pPr/>
                      <a:t>[PLAGECELL]</a:t>
                    </a:fld>
                    <a:r>
                      <a:rPr lang="en-US"/>
                      <a:t>%</a:t>
                    </a:r>
                    <a:endParaRPr lang="en-US" baseline="0"/>
                  </a:p>
                  <a:p>
                    <a:r>
                      <a:rPr lang="en-US"/>
                      <a:t>n=</a:t>
                    </a:r>
                    <a:fld id="{510B2DF5-B0EF-9B42-A44C-842E4DEC05F5}"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1225-B244-9CF9-1DA7859BA442}"/>
                </c:ext>
              </c:extLst>
            </c:dLbl>
            <c:dLbl>
              <c:idx val="4"/>
              <c:tx>
                <c:rich>
                  <a:bodyPr/>
                  <a:lstStyle/>
                  <a:p>
                    <a:fld id="{90B64973-E43F-9F4D-BF8C-02C0D843D35D}" type="CELLRANGE">
                      <a:rPr lang="en-US"/>
                      <a:pPr/>
                      <a:t>[PLAGECELL]</a:t>
                    </a:fld>
                    <a:r>
                      <a:rPr lang="en-US"/>
                      <a:t>%</a:t>
                    </a:r>
                    <a:endParaRPr lang="en-US" baseline="0"/>
                  </a:p>
                  <a:p>
                    <a:r>
                      <a:rPr lang="en-US"/>
                      <a:t>n=</a:t>
                    </a:r>
                    <a:fld id="{A2DD8827-F9CC-354B-BA9B-CE01919CAECA}"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1225-B244-9CF9-1DA7859BA442}"/>
                </c:ext>
              </c:extLst>
            </c:dLbl>
            <c:dLbl>
              <c:idx val="5"/>
              <c:tx>
                <c:rich>
                  <a:bodyPr/>
                  <a:lstStyle/>
                  <a:p>
                    <a:fld id="{3882FA38-6557-C44D-AF93-D82053AD6C5A}" type="CELLRANGE">
                      <a:rPr lang="en-US"/>
                      <a:pPr/>
                      <a:t>[PLAGECELL]</a:t>
                    </a:fld>
                    <a:r>
                      <a:rPr lang="en-US"/>
                      <a:t>%</a:t>
                    </a:r>
                    <a:endParaRPr lang="en-US" baseline="0"/>
                  </a:p>
                  <a:p>
                    <a:r>
                      <a:rPr lang="en-US"/>
                      <a:t>n=</a:t>
                    </a:r>
                    <a:fld id="{7D02CB9B-1FEE-D945-934A-3FB4317F8C85}"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1225-B244-9CF9-1DA7859BA442}"/>
                </c:ext>
              </c:extLst>
            </c:dLbl>
            <c:dLbl>
              <c:idx val="6"/>
              <c:tx>
                <c:rich>
                  <a:bodyPr/>
                  <a:lstStyle/>
                  <a:p>
                    <a:fld id="{1645D240-CBCD-BB42-A07F-DF294EB660BD}" type="CELLRANGE">
                      <a:rPr lang="en-US"/>
                      <a:pPr/>
                      <a:t>[PLAGECELL]</a:t>
                    </a:fld>
                    <a:r>
                      <a:rPr lang="en-US"/>
                      <a:t>%</a:t>
                    </a:r>
                    <a:endParaRPr lang="en-US" baseline="0"/>
                  </a:p>
                  <a:p>
                    <a:r>
                      <a:rPr lang="en-US"/>
                      <a:t>n=</a:t>
                    </a:r>
                    <a:fld id="{FC8E3B1B-A463-7346-A9A3-2B7F8DE06A9E}"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1225-B244-9CF9-1DA7859BA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Hero!$X$3:$X$9</c:f>
              <c:strCache>
                <c:ptCount val="7"/>
                <c:pt idx="0">
                  <c:v>0-10</c:v>
                </c:pt>
                <c:pt idx="1">
                  <c:v>10-20</c:v>
                </c:pt>
                <c:pt idx="2">
                  <c:v>20-30</c:v>
                </c:pt>
                <c:pt idx="3">
                  <c:v>30-40</c:v>
                </c:pt>
                <c:pt idx="4">
                  <c:v>40-50</c:v>
                </c:pt>
                <c:pt idx="5">
                  <c:v>50-60</c:v>
                </c:pt>
                <c:pt idx="6">
                  <c:v>&gt;60</c:v>
                </c:pt>
              </c:strCache>
            </c:strRef>
          </c:cat>
          <c:val>
            <c:numRef>
              <c:f>Hero!$Z$3:$Z$9</c:f>
              <c:numCache>
                <c:formatCode>General</c:formatCode>
                <c:ptCount val="7"/>
                <c:pt idx="0">
                  <c:v>32</c:v>
                </c:pt>
                <c:pt idx="1">
                  <c:v>76</c:v>
                </c:pt>
                <c:pt idx="2">
                  <c:v>3</c:v>
                </c:pt>
                <c:pt idx="3">
                  <c:v>0</c:v>
                </c:pt>
                <c:pt idx="4">
                  <c:v>1</c:v>
                </c:pt>
                <c:pt idx="5">
                  <c:v>0</c:v>
                </c:pt>
                <c:pt idx="6">
                  <c:v>0</c:v>
                </c:pt>
              </c:numCache>
            </c:numRef>
          </c:val>
          <c:extLst>
            <c:ext xmlns:c15="http://schemas.microsoft.com/office/drawing/2012/chart" uri="{02D57815-91ED-43cb-92C2-25804820EDAC}">
              <c15:datalabelsRange>
                <c15:f>Hero!$AA$3:$AA$10</c15:f>
                <c15:dlblRangeCache>
                  <c:ptCount val="8"/>
                  <c:pt idx="0">
                    <c:v>29</c:v>
                  </c:pt>
                  <c:pt idx="1">
                    <c:v>68</c:v>
                  </c:pt>
                  <c:pt idx="2">
                    <c:v>3</c:v>
                  </c:pt>
                  <c:pt idx="3">
                    <c:v>0</c:v>
                  </c:pt>
                  <c:pt idx="4">
                    <c:v>1</c:v>
                  </c:pt>
                  <c:pt idx="5">
                    <c:v>0</c:v>
                  </c:pt>
                  <c:pt idx="6">
                    <c:v>0</c:v>
                  </c:pt>
                  <c:pt idx="7">
                    <c:v>0</c:v>
                  </c:pt>
                </c15:dlblRangeCache>
              </c15:datalabelsRange>
            </c:ext>
            <c:ext xmlns:c16="http://schemas.microsoft.com/office/drawing/2014/chart" uri="{C3380CC4-5D6E-409C-BE32-E72D297353CC}">
              <c16:uniqueId val="{00000008-176B-4448-8598-9ED501F6A2C1}"/>
            </c:ext>
          </c:extLst>
        </c:ser>
        <c:dLbls>
          <c:dLblPos val="outEnd"/>
          <c:showLegendKey val="0"/>
          <c:showVal val="1"/>
          <c:showCatName val="0"/>
          <c:showSerName val="0"/>
          <c:showPercent val="0"/>
          <c:showBubbleSize val="0"/>
        </c:dLbls>
        <c:gapWidth val="219"/>
        <c:overlap val="-27"/>
        <c:axId val="1450824463"/>
        <c:axId val="1450310415"/>
      </c:barChart>
      <c:catAx>
        <c:axId val="145082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310415"/>
        <c:crosses val="autoZero"/>
        <c:auto val="1"/>
        <c:lblAlgn val="ctr"/>
        <c:lblOffset val="100"/>
        <c:noMultiLvlLbl val="0"/>
      </c:catAx>
      <c:valAx>
        <c:axId val="1450310415"/>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échantillons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824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Moyenne pureté héroïne à l'ECS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lineChart>
        <c:grouping val="standard"/>
        <c:varyColors val="0"/>
        <c:ser>
          <c:idx val="0"/>
          <c:order val="0"/>
          <c:tx>
            <c:strRef>
              <c:f>Hero!$H$35</c:f>
              <c:strCache>
                <c:ptCount val="1"/>
                <c:pt idx="0">
                  <c:v>Moyenne</c:v>
                </c:pt>
              </c:strCache>
            </c:strRef>
          </c:tx>
          <c:spPr>
            <a:ln w="28575" cap="rnd">
              <a:solidFill>
                <a:schemeClr val="accent1">
                  <a:lumMod val="40000"/>
                  <a:lumOff val="60000"/>
                </a:schemeClr>
              </a:solidFill>
              <a:round/>
            </a:ln>
            <a:effectLst/>
          </c:spPr>
          <c:marker>
            <c:symbol val="circle"/>
            <c:size val="5"/>
            <c:spPr>
              <a:solidFill>
                <a:schemeClr val="accent5">
                  <a:lumMod val="20000"/>
                  <a:lumOff val="80000"/>
                </a:schemeClr>
              </a:solidFill>
              <a:ln w="9525">
                <a:solidFill>
                  <a:schemeClr val="bg1">
                    <a:lumMod val="50000"/>
                  </a:schemeClr>
                </a:solidFill>
              </a:ln>
              <a:effectLst/>
            </c:spPr>
          </c:marker>
          <c:dLbls>
            <c:dLbl>
              <c:idx val="0"/>
              <c:layout>
                <c:manualLayout>
                  <c:x val="-2.7408521685406896E-2"/>
                  <c:y val="-4.4868346839352868E-2"/>
                </c:manualLayout>
              </c:layout>
              <c:tx>
                <c:rich>
                  <a:bodyPr/>
                  <a:lstStyle/>
                  <a:p>
                    <a:fld id="{5EF89081-ACCD-CF4B-8919-6FCAB88A52A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D7-6B4A-AA5F-19432E79520E}"/>
                </c:ext>
              </c:extLst>
            </c:dLbl>
            <c:dLbl>
              <c:idx val="1"/>
              <c:layout>
                <c:manualLayout>
                  <c:x val="-4.3393469582388294E-2"/>
                  <c:y val="-1.96208847914855E-2"/>
                </c:manualLayout>
              </c:layout>
              <c:tx>
                <c:rich>
                  <a:bodyPr/>
                  <a:lstStyle/>
                  <a:p>
                    <a:fld id="{170FECED-B13C-AD48-9969-1056290D915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7D7-6B4A-AA5F-19432E79520E}"/>
                </c:ext>
              </c:extLst>
            </c:dLbl>
            <c:dLbl>
              <c:idx val="2"/>
              <c:layout>
                <c:manualLayout>
                  <c:x val="-2.5124957700123816E-2"/>
                  <c:y val="-3.4048005961695424E-2"/>
                </c:manualLayout>
              </c:layout>
              <c:tx>
                <c:rich>
                  <a:bodyPr/>
                  <a:lstStyle/>
                  <a:p>
                    <a:fld id="{797706D9-B314-6544-A5F1-77C9F4835F2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7D7-6B4A-AA5F-19432E79520E}"/>
                </c:ext>
              </c:extLst>
            </c:dLbl>
            <c:dLbl>
              <c:idx val="3"/>
              <c:layout>
                <c:manualLayout>
                  <c:x val="-2.2841393714840778E-2"/>
                  <c:y val="3.4480819596801791E-2"/>
                </c:manualLayout>
              </c:layout>
              <c:tx>
                <c:rich>
                  <a:bodyPr/>
                  <a:lstStyle/>
                  <a:p>
                    <a:fld id="{34281CC2-0E00-5540-B385-3A15612E4DC8}"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7D7-6B4A-AA5F-19432E79520E}"/>
                </c:ext>
              </c:extLst>
            </c:dLbl>
            <c:dLbl>
              <c:idx val="4"/>
              <c:layout>
                <c:manualLayout>
                  <c:x val="-6.8564458178593402E-3"/>
                  <c:y val="5.6265772563818713E-3"/>
                </c:manualLayout>
              </c:layout>
              <c:tx>
                <c:rich>
                  <a:bodyPr/>
                  <a:lstStyle/>
                  <a:p>
                    <a:fld id="{A99D1F8B-CA16-F140-B100-34B4C44B39C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7D7-6B4A-AA5F-19432E79520E}"/>
                </c:ext>
              </c:extLst>
            </c:dLbl>
            <c:dLbl>
              <c:idx val="5"/>
              <c:layout>
                <c:manualLayout>
                  <c:x val="-2.5124957700123837E-2"/>
                  <c:y val="-3.0441225669142945E-2"/>
                </c:manualLayout>
              </c:layout>
              <c:tx>
                <c:rich>
                  <a:bodyPr/>
                  <a:lstStyle/>
                  <a:p>
                    <a:fld id="{8E19039E-D912-434E-9C47-01A728B977D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7D7-6B4A-AA5F-19432E79520E}"/>
                </c:ext>
              </c:extLst>
            </c:dLbl>
            <c:dLbl>
              <c:idx val="6"/>
              <c:layout>
                <c:manualLayout>
                  <c:x val="-2.5124957700123816E-2"/>
                  <c:y val="3.4480819596801722E-2"/>
                </c:manualLayout>
              </c:layout>
              <c:tx>
                <c:rich>
                  <a:bodyPr/>
                  <a:lstStyle/>
                  <a:p>
                    <a:fld id="{CF63C917-972C-E84B-B715-8CB6EA3933D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7D7-6B4A-AA5F-19432E79520E}"/>
                </c:ext>
              </c:extLst>
            </c:dLbl>
            <c:dLbl>
              <c:idx val="7"/>
              <c:layout>
                <c:manualLayout>
                  <c:x val="-2.5124957700123858E-2"/>
                  <c:y val="-3.4048005961695424E-2"/>
                </c:manualLayout>
              </c:layout>
              <c:tx>
                <c:rich>
                  <a:bodyPr/>
                  <a:lstStyle/>
                  <a:p>
                    <a:fld id="{43374334-C4A7-144E-A910-06146A25286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7D7-6B4A-AA5F-19432E79520E}"/>
                </c:ext>
              </c:extLst>
            </c:dLbl>
            <c:dLbl>
              <c:idx val="8"/>
              <c:layout>
                <c:manualLayout>
                  <c:x val="-3.1975649655972993E-2"/>
                  <c:y val="3.8087599889354201E-2"/>
                </c:manualLayout>
              </c:layout>
              <c:tx>
                <c:rich>
                  <a:bodyPr/>
                  <a:lstStyle/>
                  <a:p>
                    <a:fld id="{6865680F-14D5-A041-BEF0-F4845A03022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7D7-6B4A-AA5F-19432E79520E}"/>
                </c:ext>
              </c:extLst>
            </c:dLbl>
            <c:dLbl>
              <c:idx val="9"/>
              <c:layout>
                <c:manualLayout>
                  <c:x val="-2.5124957700123816E-2"/>
                  <c:y val="-3.4048005961695493E-2"/>
                </c:manualLayout>
              </c:layout>
              <c:tx>
                <c:rich>
                  <a:bodyPr/>
                  <a:lstStyle/>
                  <a:p>
                    <a:fld id="{EC610C88-1C61-E84C-B0BC-B64ECD16F7F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7D7-6B4A-AA5F-19432E79520E}"/>
                </c:ext>
              </c:extLst>
            </c:dLbl>
            <c:dLbl>
              <c:idx val="10"/>
              <c:layout>
                <c:manualLayout>
                  <c:x val="-2.9692085670689934E-2"/>
                  <c:y val="3.4480819596801722E-2"/>
                </c:manualLayout>
              </c:layout>
              <c:tx>
                <c:rich>
                  <a:bodyPr/>
                  <a:lstStyle/>
                  <a:p>
                    <a:fld id="{53F72CF0-224C-2643-965A-611736F7ED1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7D7-6B4A-AA5F-19432E79520E}"/>
                </c:ext>
              </c:extLst>
            </c:dLbl>
            <c:dLbl>
              <c:idx val="11"/>
              <c:layout>
                <c:manualLayout>
                  <c:x val="-2.7408521685406959E-2"/>
                  <c:y val="-3.4048005961695424E-2"/>
                </c:manualLayout>
              </c:layout>
              <c:tx>
                <c:rich>
                  <a:bodyPr/>
                  <a:lstStyle/>
                  <a:p>
                    <a:fld id="{351482A0-29FC-AB4F-9AAA-573813843E0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7D7-6B4A-AA5F-19432E79520E}"/>
                </c:ext>
              </c:extLst>
            </c:dLbl>
            <c:dLbl>
              <c:idx val="12"/>
              <c:layout>
                <c:manualLayout>
                  <c:x val="-2.5124957700123816E-2"/>
                  <c:y val="3.0874039304249177E-2"/>
                </c:manualLayout>
              </c:layout>
              <c:tx>
                <c:rich>
                  <a:bodyPr/>
                  <a:lstStyle/>
                  <a:p>
                    <a:fld id="{28EC0364-E33C-A146-9293-575D78CB1DE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7D7-6B4A-AA5F-19432E79520E}"/>
                </c:ext>
              </c:extLst>
            </c:dLbl>
            <c:dLbl>
              <c:idx val="13"/>
              <c:layout>
                <c:manualLayout>
                  <c:x val="-2.7408521685406959E-2"/>
                  <c:y val="-3.4048005961695424E-2"/>
                </c:manualLayout>
              </c:layout>
              <c:tx>
                <c:rich>
                  <a:bodyPr/>
                  <a:lstStyle/>
                  <a:p>
                    <a:fld id="{7BEEB7AC-E6A8-7348-94E6-99E4CDA94BE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67D7-6B4A-AA5F-19432E79520E}"/>
                </c:ext>
              </c:extLst>
            </c:dLbl>
            <c:dLbl>
              <c:idx val="14"/>
              <c:layout>
                <c:manualLayout>
                  <c:x val="-3.4259213641256052E-2"/>
                  <c:y val="3.0874039304249243E-2"/>
                </c:manualLayout>
              </c:layout>
              <c:tx>
                <c:rich>
                  <a:bodyPr/>
                  <a:lstStyle/>
                  <a:p>
                    <a:fld id="{39FBBE6B-A062-5748-A8C9-973C22BE586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67D7-6B4A-AA5F-19432E79520E}"/>
                </c:ext>
              </c:extLst>
            </c:dLbl>
            <c:dLbl>
              <c:idx val="15"/>
              <c:layout>
                <c:manualLayout>
                  <c:x val="-2.9692085670690101E-2"/>
                  <c:y val="-2.6834445376590528E-2"/>
                </c:manualLayout>
              </c:layout>
              <c:tx>
                <c:rich>
                  <a:bodyPr/>
                  <a:lstStyle/>
                  <a:p>
                    <a:fld id="{EA48F215-1277-504B-96A0-37A41C6B416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67D7-6B4A-AA5F-19432E79520E}"/>
                </c:ext>
              </c:extLst>
            </c:dLbl>
            <c:dLbl>
              <c:idx val="16"/>
              <c:layout>
                <c:manualLayout>
                  <c:x val="-2.5124957700123816E-2"/>
                  <c:y val="-3.0441225669142945E-2"/>
                </c:manualLayout>
              </c:layout>
              <c:tx>
                <c:rich>
                  <a:bodyPr/>
                  <a:lstStyle/>
                  <a:p>
                    <a:fld id="{4A400660-65BB-9542-8096-71A8886056C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67D7-6B4A-AA5F-19432E79520E}"/>
                </c:ext>
              </c:extLst>
            </c:dLbl>
            <c:dLbl>
              <c:idx val="17"/>
              <c:layout>
                <c:manualLayout>
                  <c:x val="-2.9692085670689851E-2"/>
                  <c:y val="2.726725901169676E-2"/>
                </c:manualLayout>
              </c:layout>
              <c:tx>
                <c:rich>
                  <a:bodyPr/>
                  <a:lstStyle/>
                  <a:p>
                    <a:fld id="{B5638193-CBEE-FF42-B282-FD95DBB076F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67D7-6B4A-AA5F-19432E79520E}"/>
                </c:ext>
              </c:extLst>
            </c:dLbl>
            <c:dLbl>
              <c:idx val="18"/>
              <c:layout>
                <c:manualLayout>
                  <c:x val="-2.51249577001239E-2"/>
                  <c:y val="-3.0441225669142945E-2"/>
                </c:manualLayout>
              </c:layout>
              <c:tx>
                <c:rich>
                  <a:bodyPr/>
                  <a:lstStyle/>
                  <a:p>
                    <a:fld id="{64DE8AB0-D915-E44A-948F-E06554ED675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67D7-6B4A-AA5F-19432E79520E}"/>
                </c:ext>
              </c:extLst>
            </c:dLbl>
            <c:dLbl>
              <c:idx val="19"/>
              <c:layout>
                <c:manualLayout>
                  <c:x val="-3.0839621525341709E-2"/>
                  <c:y val="3.0874039304249243E-2"/>
                </c:manualLayout>
              </c:layout>
              <c:tx>
                <c:rich>
                  <a:bodyPr/>
                  <a:lstStyle/>
                  <a:p>
                    <a:fld id="{66CD8F5E-4623-7D4B-90DE-50841D0CA70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67D7-6B4A-AA5F-19432E79520E}"/>
                </c:ext>
              </c:extLst>
            </c:dLbl>
            <c:dLbl>
              <c:idx val="20"/>
              <c:layout>
                <c:manualLayout>
                  <c:x val="-2.7408521685406959E-2"/>
                  <c:y val="-2.6834445376590528E-2"/>
                </c:manualLayout>
              </c:layout>
              <c:tx>
                <c:rich>
                  <a:bodyPr/>
                  <a:lstStyle/>
                  <a:p>
                    <a:fld id="{4D11E9CC-BE4E-BB42-85D8-1C5F4583ACB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67D7-6B4A-AA5F-19432E79520E}"/>
                </c:ext>
              </c:extLst>
            </c:dLbl>
            <c:dLbl>
              <c:idx val="21"/>
              <c:layout>
                <c:manualLayout>
                  <c:x val="-1.8274265744274806E-2"/>
                  <c:y val="2.3660478719144278E-2"/>
                </c:manualLayout>
              </c:layout>
              <c:tx>
                <c:rich>
                  <a:bodyPr/>
                  <a:lstStyle/>
                  <a:p>
                    <a:fld id="{AED85033-3BC3-F44E-BE1B-4A61C81D7F4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67D7-6B4A-AA5F-19432E79520E}"/>
                </c:ext>
              </c:extLst>
            </c:dLbl>
            <c:dLbl>
              <c:idx val="22"/>
              <c:layout>
                <c:manualLayout>
                  <c:x val="-3.4259213641256052E-2"/>
                  <c:y val="-2.6834445376590396E-2"/>
                </c:manualLayout>
              </c:layout>
              <c:tx>
                <c:rich>
                  <a:bodyPr/>
                  <a:lstStyle/>
                  <a:p>
                    <a:fld id="{31159D12-F469-F944-832F-366345F7EB3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67D7-6B4A-AA5F-19432E79520E}"/>
                </c:ext>
              </c:extLst>
            </c:dLbl>
            <c:dLbl>
              <c:idx val="23"/>
              <c:layout>
                <c:manualLayout>
                  <c:x val="-3.4259213641256052E-2"/>
                  <c:y val="-2.3227665084038045E-2"/>
                </c:manualLayout>
              </c:layout>
              <c:tx>
                <c:rich>
                  <a:bodyPr/>
                  <a:lstStyle/>
                  <a:p>
                    <a:fld id="{6595C04F-E1BC-4D4E-9257-3D6EEE2D625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67D7-6B4A-AA5F-19432E79520E}"/>
                </c:ext>
              </c:extLst>
            </c:dLbl>
            <c:dLbl>
              <c:idx val="24"/>
              <c:layout>
                <c:manualLayout>
                  <c:x val="-2.7408521685406875E-2"/>
                  <c:y val="-3.4048005961695424E-2"/>
                </c:manualLayout>
              </c:layout>
              <c:tx>
                <c:rich>
                  <a:bodyPr/>
                  <a:lstStyle/>
                  <a:p>
                    <a:fld id="{5672F1DD-C50B-8740-8C29-5E155C72D3D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67D7-6B4A-AA5F-19432E79520E}"/>
                </c:ext>
              </c:extLst>
            </c:dLbl>
            <c:dLbl>
              <c:idx val="25"/>
              <c:layout>
                <c:manualLayout>
                  <c:x val="-1.8274265744274636E-2"/>
                  <c:y val="-3.0441225669142945E-2"/>
                </c:manualLayout>
              </c:layout>
              <c:tx>
                <c:rich>
                  <a:bodyPr/>
                  <a:lstStyle/>
                  <a:p>
                    <a:fld id="{B4611C23-5DD2-6240-BCE1-044F60733AD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67D7-6B4A-AA5F-19432E79520E}"/>
                </c:ext>
              </c:extLst>
            </c:dLbl>
            <c:dLbl>
              <c:idx val="26"/>
              <c:layout>
                <c:manualLayout>
                  <c:x val="-2.9692085670689934E-2"/>
                  <c:y val="2.3660478719144278E-2"/>
                </c:manualLayout>
              </c:layout>
              <c:tx>
                <c:rich>
                  <a:bodyPr/>
                  <a:lstStyle/>
                  <a:p>
                    <a:fld id="{76737DB8-6544-AC43-968E-53CD216EF72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67D7-6B4A-AA5F-19432E79520E}"/>
                </c:ext>
              </c:extLst>
            </c:dLbl>
            <c:dLbl>
              <c:idx val="27"/>
              <c:layout>
                <c:manualLayout>
                  <c:x val="-2.0557829729557865E-2"/>
                  <c:y val="-3.0441225669142945E-2"/>
                </c:manualLayout>
              </c:layout>
              <c:tx>
                <c:rich>
                  <a:bodyPr/>
                  <a:lstStyle/>
                  <a:p>
                    <a:fld id="{BC5979F8-2B37-DE4D-B477-29376B5D226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67D7-6B4A-AA5F-19432E79520E}"/>
                </c:ext>
              </c:extLst>
            </c:dLbl>
            <c:dLbl>
              <c:idx val="28"/>
              <c:layout>
                <c:manualLayout>
                  <c:x val="-2.5124957700123983E-2"/>
                  <c:y val="2.7267259011696694E-2"/>
                </c:manualLayout>
              </c:layout>
              <c:tx>
                <c:rich>
                  <a:bodyPr/>
                  <a:lstStyle/>
                  <a:p>
                    <a:fld id="{B18BD3CC-07FF-E04A-8F75-40CEFC2080F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67D7-6B4A-AA5F-19432E79520E}"/>
                </c:ext>
              </c:extLst>
            </c:dLbl>
            <c:dLbl>
              <c:idx val="29"/>
              <c:layout>
                <c:manualLayout>
                  <c:x val="-2.7408521685406875E-2"/>
                  <c:y val="-3.4048005961695424E-2"/>
                </c:manualLayout>
              </c:layout>
              <c:tx>
                <c:rich>
                  <a:bodyPr/>
                  <a:lstStyle/>
                  <a:p>
                    <a:fld id="{A35FFF58-5145-EF44-AF43-1156E435AF2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67D7-6B4A-AA5F-19432E79520E}"/>
                </c:ext>
              </c:extLst>
            </c:dLbl>
            <c:dLbl>
              <c:idx val="30"/>
              <c:layout>
                <c:manualLayout>
                  <c:x val="-2.7408521685406875E-2"/>
                  <c:y val="3.8087599889354139E-2"/>
                </c:manualLayout>
              </c:layout>
              <c:tx>
                <c:rich>
                  <a:bodyPr/>
                  <a:lstStyle/>
                  <a:p>
                    <a:fld id="{AA894970-53FF-FE43-B0E5-E8BD58F7995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67D7-6B4A-AA5F-19432E79520E}"/>
                </c:ext>
              </c:extLst>
            </c:dLbl>
            <c:dLbl>
              <c:idx val="31"/>
              <c:layout>
                <c:manualLayout>
                  <c:x val="-2.5124957700123983E-2"/>
                  <c:y val="-3.7654786254247972E-2"/>
                </c:manualLayout>
              </c:layout>
              <c:tx>
                <c:rich>
                  <a:bodyPr/>
                  <a:lstStyle/>
                  <a:p>
                    <a:fld id="{6A157474-A56F-1A4A-AB06-0EA4AC0F410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67D7-6B4A-AA5F-19432E79520E}"/>
                </c:ext>
              </c:extLst>
            </c:dLbl>
            <c:dLbl>
              <c:idx val="32"/>
              <c:layout>
                <c:manualLayout>
                  <c:x val="-4.1109905597105235E-2"/>
                  <c:y val="1.2840137841486835E-2"/>
                </c:manualLayout>
              </c:layout>
              <c:tx>
                <c:rich>
                  <a:bodyPr/>
                  <a:lstStyle/>
                  <a:p>
                    <a:fld id="{F141609F-33FE-0143-BD28-7A4AB7681FA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67D7-6B4A-AA5F-19432E79520E}"/>
                </c:ext>
              </c:extLst>
            </c:dLbl>
            <c:dLbl>
              <c:idx val="33"/>
              <c:layout>
                <c:manualLayout>
                  <c:x val="-2.5124957700123983E-2"/>
                  <c:y val="2.726725901169676E-2"/>
                </c:manualLayout>
              </c:layout>
              <c:tx>
                <c:rich>
                  <a:bodyPr/>
                  <a:lstStyle/>
                  <a:p>
                    <a:fld id="{9CAA5126-5314-6345-BBC6-1A1FDAD0E33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67D7-6B4A-AA5F-19432E79520E}"/>
                </c:ext>
              </c:extLst>
            </c:dLbl>
            <c:dLbl>
              <c:idx val="34"/>
              <c:layout>
                <c:manualLayout>
                  <c:x val="-2.9692085670689934E-2"/>
                  <c:y val="-3.4048005961695424E-2"/>
                </c:manualLayout>
              </c:layout>
              <c:tx>
                <c:rich>
                  <a:bodyPr/>
                  <a:lstStyle/>
                  <a:p>
                    <a:fld id="{5A8F434C-B565-364E-AB6A-2CDFDB3A8F1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67D7-6B4A-AA5F-19432E79520E}"/>
                </c:ext>
              </c:extLst>
            </c:dLbl>
            <c:dLbl>
              <c:idx val="35"/>
              <c:layout>
                <c:manualLayout>
                  <c:x val="-1.5990701758991577E-2"/>
                  <c:y val="-3.0441225669142879E-2"/>
                </c:manualLayout>
              </c:layout>
              <c:tx>
                <c:rich>
                  <a:bodyPr/>
                  <a:lstStyle/>
                  <a:p>
                    <a:fld id="{EB88C522-7BF2-7441-9066-A4A271146A1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67D7-6B4A-AA5F-19432E79520E}"/>
                </c:ext>
              </c:extLst>
            </c:dLbl>
            <c:dLbl>
              <c:idx val="36"/>
              <c:layout>
                <c:manualLayout>
                  <c:x val="-2.2841393714840758E-2"/>
                  <c:y val="3.8087599889354201E-2"/>
                </c:manualLayout>
              </c:layout>
              <c:tx>
                <c:rich>
                  <a:bodyPr/>
                  <a:lstStyle/>
                  <a:p>
                    <a:fld id="{C136606A-7A79-FA4F-8B56-F7ACF1422A5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67D7-6B4A-AA5F-19432E79520E}"/>
                </c:ext>
              </c:extLst>
            </c:dLbl>
            <c:dLbl>
              <c:idx val="37"/>
              <c:layout>
                <c:manualLayout>
                  <c:x val="-1.6014852978384127E-2"/>
                  <c:y val="3.4752800057476579E-2"/>
                </c:manualLayout>
              </c:layout>
              <c:tx>
                <c:rich>
                  <a:bodyPr/>
                  <a:lstStyle/>
                  <a:p>
                    <a:fld id="{A6A0550F-EEB6-DA41-A7C6-CC546C67805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4C2-5D40-B0FA-C73C90751038}"/>
                </c:ext>
              </c:extLst>
            </c:dLbl>
            <c:dLbl>
              <c:idx val="38"/>
              <c:tx>
                <c:rich>
                  <a:bodyPr/>
                  <a:lstStyle/>
                  <a:p>
                    <a:fld id="{26B9802C-4046-634E-87F7-C91006159C1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4C2-5D40-B0FA-C73C90751038}"/>
                </c:ext>
              </c:extLst>
            </c:dLbl>
            <c:dLbl>
              <c:idx val="39"/>
              <c:tx>
                <c:rich>
                  <a:bodyPr/>
                  <a:lstStyle/>
                  <a:p>
                    <a:fld id="{B579EC80-7286-D949-884E-B7E62C6F5D4A}"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A8C-CC47-846D-5DBA049A0104}"/>
                </c:ext>
              </c:extLst>
            </c:dLbl>
            <c:dLbl>
              <c:idx val="40"/>
              <c:layout>
                <c:manualLayout>
                  <c:x val="-2.2926843530682094E-2"/>
                  <c:y val="4.151979438634907E-2"/>
                </c:manualLayout>
              </c:layout>
              <c:tx>
                <c:rich>
                  <a:bodyPr/>
                  <a:lstStyle/>
                  <a:p>
                    <a:fld id="{C1834A1C-EB7D-E74F-9C3E-D27B5567709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721-5046-BE8B-F1D3C1353CAC}"/>
                </c:ext>
              </c:extLst>
            </c:dLbl>
            <c:dLbl>
              <c:idx val="41"/>
              <c:layout>
                <c:manualLayout>
                  <c:x val="-2.0540175794815263E-2"/>
                  <c:y val="-4.0904627193772747E-2"/>
                </c:manualLayout>
              </c:layout>
              <c:tx>
                <c:rich>
                  <a:bodyPr/>
                  <a:lstStyle/>
                  <a:p>
                    <a:fld id="{BE7BA3DA-49C4-3344-926F-C1D66DDE567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CDC-154B-9599-D913958663D8}"/>
                </c:ext>
              </c:extLst>
            </c:dLbl>
            <c:dLbl>
              <c:idx val="42"/>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CCDC-154B-9599-D913958663D8}"/>
                </c:ext>
              </c:extLst>
            </c:dLbl>
            <c:dLbl>
              <c:idx val="43"/>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CCDC-154B-9599-D913958663D8}"/>
                </c:ext>
              </c:extLst>
            </c:dLbl>
            <c:dLbl>
              <c:idx val="44"/>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CCDC-154B-9599-D913958663D8}"/>
                </c:ext>
              </c:extLst>
            </c:dLbl>
            <c:dLbl>
              <c:idx val="45"/>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CCDC-154B-9599-D913958663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Hero!$G$36:$G$81</c:f>
              <c:numCache>
                <c:formatCode>m/d/yy</c:formatCode>
                <c:ptCount val="46"/>
                <c:pt idx="0">
                  <c:v>44872</c:v>
                </c:pt>
                <c:pt idx="1">
                  <c:v>44909</c:v>
                </c:pt>
                <c:pt idx="2">
                  <c:v>44916</c:v>
                </c:pt>
                <c:pt idx="3">
                  <c:v>44937</c:v>
                </c:pt>
                <c:pt idx="4">
                  <c:v>44944</c:v>
                </c:pt>
                <c:pt idx="5">
                  <c:v>44958</c:v>
                </c:pt>
                <c:pt idx="6">
                  <c:v>45042</c:v>
                </c:pt>
                <c:pt idx="7">
                  <c:v>45210</c:v>
                </c:pt>
                <c:pt idx="8">
                  <c:v>45392</c:v>
                </c:pt>
                <c:pt idx="9">
                  <c:v>45462</c:v>
                </c:pt>
                <c:pt idx="10">
                  <c:v>45483</c:v>
                </c:pt>
                <c:pt idx="11">
                  <c:v>45518</c:v>
                </c:pt>
                <c:pt idx="12">
                  <c:v>45567</c:v>
                </c:pt>
                <c:pt idx="13">
                  <c:v>45609</c:v>
                </c:pt>
                <c:pt idx="14">
                  <c:v>45623</c:v>
                </c:pt>
                <c:pt idx="15">
                  <c:v>45637</c:v>
                </c:pt>
                <c:pt idx="16">
                  <c:v>45644</c:v>
                </c:pt>
                <c:pt idx="17">
                  <c:v>45665</c:v>
                </c:pt>
                <c:pt idx="18">
                  <c:v>45679</c:v>
                </c:pt>
                <c:pt idx="19">
                  <c:v>45693</c:v>
                </c:pt>
                <c:pt idx="20">
                  <c:v>45721</c:v>
                </c:pt>
                <c:pt idx="21">
                  <c:v>45735</c:v>
                </c:pt>
                <c:pt idx="22">
                  <c:v>45763</c:v>
                </c:pt>
                <c:pt idx="23">
                  <c:v>45777</c:v>
                </c:pt>
                <c:pt idx="24">
                  <c:v>45791</c:v>
                </c:pt>
                <c:pt idx="25">
                  <c:v>45805</c:v>
                </c:pt>
                <c:pt idx="26">
                  <c:v>45819</c:v>
                </c:pt>
                <c:pt idx="27">
                  <c:v>45833</c:v>
                </c:pt>
                <c:pt idx="28">
                  <c:v>45847</c:v>
                </c:pt>
                <c:pt idx="29">
                  <c:v>45889</c:v>
                </c:pt>
                <c:pt idx="30">
                  <c:v>45903</c:v>
                </c:pt>
                <c:pt idx="31">
                  <c:v>45917</c:v>
                </c:pt>
                <c:pt idx="32">
                  <c:v>45931</c:v>
                </c:pt>
                <c:pt idx="33">
                  <c:v>45945</c:v>
                </c:pt>
                <c:pt idx="34">
                  <c:v>45959</c:v>
                </c:pt>
                <c:pt idx="35">
                  <c:v>45973</c:v>
                </c:pt>
                <c:pt idx="36">
                  <c:v>45987</c:v>
                </c:pt>
                <c:pt idx="37">
                  <c:v>46043</c:v>
                </c:pt>
                <c:pt idx="38">
                  <c:v>46057</c:v>
                </c:pt>
                <c:pt idx="39">
                  <c:v>46085</c:v>
                </c:pt>
                <c:pt idx="40">
                  <c:v>46099</c:v>
                </c:pt>
                <c:pt idx="41">
                  <c:v>46113</c:v>
                </c:pt>
              </c:numCache>
            </c:numRef>
          </c:cat>
          <c:val>
            <c:numRef>
              <c:f>Hero!$H$36:$H$81</c:f>
              <c:numCache>
                <c:formatCode>0.0</c:formatCode>
                <c:ptCount val="46"/>
                <c:pt idx="0">
                  <c:v>13.8</c:v>
                </c:pt>
                <c:pt idx="1">
                  <c:v>19.8</c:v>
                </c:pt>
                <c:pt idx="2">
                  <c:v>21.4</c:v>
                </c:pt>
                <c:pt idx="3">
                  <c:v>11.95</c:v>
                </c:pt>
                <c:pt idx="4">
                  <c:v>16</c:v>
                </c:pt>
                <c:pt idx="5">
                  <c:v>19.3</c:v>
                </c:pt>
                <c:pt idx="6">
                  <c:v>15.5</c:v>
                </c:pt>
                <c:pt idx="7">
                  <c:v>18.649999999999999</c:v>
                </c:pt>
                <c:pt idx="8">
                  <c:v>14.899999999999999</c:v>
                </c:pt>
                <c:pt idx="9">
                  <c:v>15.1</c:v>
                </c:pt>
                <c:pt idx="10">
                  <c:v>10</c:v>
                </c:pt>
                <c:pt idx="11">
                  <c:v>12.05</c:v>
                </c:pt>
                <c:pt idx="12">
                  <c:v>12.7</c:v>
                </c:pt>
                <c:pt idx="13">
                  <c:v>19.633333333333336</c:v>
                </c:pt>
                <c:pt idx="14">
                  <c:v>8.4666666666666668</c:v>
                </c:pt>
                <c:pt idx="15">
                  <c:v>10.5</c:v>
                </c:pt>
                <c:pt idx="16">
                  <c:v>12.266666666666666</c:v>
                </c:pt>
                <c:pt idx="17">
                  <c:v>8.0374999999999996</c:v>
                </c:pt>
                <c:pt idx="18">
                  <c:v>12.324999999999999</c:v>
                </c:pt>
                <c:pt idx="19">
                  <c:v>5.4692799999999995</c:v>
                </c:pt>
                <c:pt idx="20" formatCode="General">
                  <c:v>10.5</c:v>
                </c:pt>
                <c:pt idx="21" formatCode="General">
                  <c:v>9.1</c:v>
                </c:pt>
                <c:pt idx="22" formatCode="General">
                  <c:v>11.3</c:v>
                </c:pt>
                <c:pt idx="23" formatCode="General">
                  <c:v>13.700000000000001</c:v>
                </c:pt>
                <c:pt idx="24" formatCode="General">
                  <c:v>15.9</c:v>
                </c:pt>
                <c:pt idx="25" formatCode="General">
                  <c:v>15.2</c:v>
                </c:pt>
                <c:pt idx="26" formatCode="General">
                  <c:v>13.2</c:v>
                </c:pt>
                <c:pt idx="27" formatCode="General">
                  <c:v>14.1</c:v>
                </c:pt>
                <c:pt idx="28" formatCode="General">
                  <c:v>11.1</c:v>
                </c:pt>
                <c:pt idx="29">
                  <c:v>13.549999999999999</c:v>
                </c:pt>
                <c:pt idx="30" formatCode="General">
                  <c:v>13</c:v>
                </c:pt>
                <c:pt idx="31" formatCode="General">
                  <c:v>13.6</c:v>
                </c:pt>
                <c:pt idx="32" formatCode="General">
                  <c:v>8.1</c:v>
                </c:pt>
                <c:pt idx="33" formatCode="General">
                  <c:v>7.2</c:v>
                </c:pt>
                <c:pt idx="34">
                  <c:v>13.75</c:v>
                </c:pt>
                <c:pt idx="35">
                  <c:v>11.466666666666669</c:v>
                </c:pt>
                <c:pt idx="36">
                  <c:v>9.625</c:v>
                </c:pt>
                <c:pt idx="37" formatCode="General">
                  <c:v>9.8500000000000014</c:v>
                </c:pt>
                <c:pt idx="38" formatCode="General">
                  <c:v>14.6</c:v>
                </c:pt>
                <c:pt idx="39" formatCode="General">
                  <c:v>12.5</c:v>
                </c:pt>
                <c:pt idx="40" formatCode="General">
                  <c:v>11</c:v>
                </c:pt>
                <c:pt idx="41" formatCode="General">
                  <c:v>15.466666666666667</c:v>
                </c:pt>
              </c:numCache>
            </c:numRef>
          </c:val>
          <c:smooth val="0"/>
          <c:extLst>
            <c:ext xmlns:c15="http://schemas.microsoft.com/office/drawing/2012/chart" uri="{02D57815-91ED-43cb-92C2-25804820EDAC}">
              <c15:datalabelsRange>
                <c15:f>Hero!$I$36:$I$81</c15:f>
                <c15:dlblRangeCache>
                  <c:ptCount val="46"/>
                  <c:pt idx="0">
                    <c:v>1</c:v>
                  </c:pt>
                  <c:pt idx="1">
                    <c:v>1</c:v>
                  </c:pt>
                  <c:pt idx="2">
                    <c:v>2</c:v>
                  </c:pt>
                  <c:pt idx="3">
                    <c:v>2</c:v>
                  </c:pt>
                  <c:pt idx="4">
                    <c:v>3</c:v>
                  </c:pt>
                  <c:pt idx="5">
                    <c:v>3</c:v>
                  </c:pt>
                  <c:pt idx="6">
                    <c:v>2</c:v>
                  </c:pt>
                  <c:pt idx="7">
                    <c:v>2</c:v>
                  </c:pt>
                  <c:pt idx="8">
                    <c:v>4</c:v>
                  </c:pt>
                  <c:pt idx="9">
                    <c:v>1</c:v>
                  </c:pt>
                  <c:pt idx="10">
                    <c:v>2</c:v>
                  </c:pt>
                  <c:pt idx="11">
                    <c:v>2</c:v>
                  </c:pt>
                  <c:pt idx="12">
                    <c:v>4</c:v>
                  </c:pt>
                  <c:pt idx="13">
                    <c:v>6</c:v>
                  </c:pt>
                  <c:pt idx="14">
                    <c:v>4</c:v>
                  </c:pt>
                  <c:pt idx="15">
                    <c:v>5</c:v>
                  </c:pt>
                  <c:pt idx="16">
                    <c:v>3</c:v>
                  </c:pt>
                  <c:pt idx="17">
                    <c:v>8</c:v>
                  </c:pt>
                  <c:pt idx="18">
                    <c:v>4</c:v>
                  </c:pt>
                  <c:pt idx="19">
                    <c:v>10</c:v>
                  </c:pt>
                  <c:pt idx="20">
                    <c:v>3</c:v>
                  </c:pt>
                  <c:pt idx="21">
                    <c:v>1</c:v>
                  </c:pt>
                  <c:pt idx="22">
                    <c:v>2</c:v>
                  </c:pt>
                  <c:pt idx="23">
                    <c:v>2</c:v>
                  </c:pt>
                  <c:pt idx="24">
                    <c:v>1</c:v>
                  </c:pt>
                  <c:pt idx="25">
                    <c:v>1</c:v>
                  </c:pt>
                  <c:pt idx="26">
                    <c:v>1</c:v>
                  </c:pt>
                  <c:pt idx="27">
                    <c:v>2</c:v>
                  </c:pt>
                  <c:pt idx="28">
                    <c:v>3</c:v>
                  </c:pt>
                  <c:pt idx="29">
                    <c:v>4</c:v>
                  </c:pt>
                  <c:pt idx="30">
                    <c:v>2</c:v>
                  </c:pt>
                  <c:pt idx="31">
                    <c:v>1</c:v>
                  </c:pt>
                  <c:pt idx="32">
                    <c:v>2</c:v>
                  </c:pt>
                  <c:pt idx="33">
                    <c:v>3</c:v>
                  </c:pt>
                  <c:pt idx="34">
                    <c:v>2</c:v>
                  </c:pt>
                  <c:pt idx="35">
                    <c:v>3</c:v>
                  </c:pt>
                  <c:pt idx="36">
                    <c:v>5</c:v>
                  </c:pt>
                  <c:pt idx="37">
                    <c:v>2</c:v>
                  </c:pt>
                  <c:pt idx="38">
                    <c:v>2</c:v>
                  </c:pt>
                  <c:pt idx="39">
                    <c:v>1</c:v>
                  </c:pt>
                  <c:pt idx="40">
                    <c:v>1</c:v>
                  </c:pt>
                  <c:pt idx="41">
                    <c:v>3</c:v>
                  </c:pt>
                </c15:dlblRangeCache>
              </c15:datalabelsRange>
            </c:ext>
            <c:ext xmlns:c16="http://schemas.microsoft.com/office/drawing/2014/chart" uri="{C3380CC4-5D6E-409C-BE32-E72D297353CC}">
              <c16:uniqueId val="{00000000-0847-CF4D-AEB7-D92E69B9A101}"/>
            </c:ext>
          </c:extLst>
        </c:ser>
        <c:dLbls>
          <c:dLblPos val="t"/>
          <c:showLegendKey val="0"/>
          <c:showVal val="1"/>
          <c:showCatName val="0"/>
          <c:showSerName val="0"/>
          <c:showPercent val="0"/>
          <c:showBubbleSize val="0"/>
        </c:dLbls>
        <c:marker val="1"/>
        <c:smooth val="0"/>
        <c:axId val="675367103"/>
        <c:axId val="675968639"/>
      </c:lineChart>
      <c:dateAx>
        <c:axId val="675367103"/>
        <c:scaling>
          <c:orientation val="minMax"/>
          <c:max val="46143"/>
          <c:min val="44866"/>
        </c:scaling>
        <c:delete val="0"/>
        <c:axPos val="b"/>
        <c:majorGridlines>
          <c:spPr>
            <a:ln w="9525" cap="flat" cmpd="sng" algn="ctr">
              <a:solidFill>
                <a:schemeClr val="tx1">
                  <a:lumMod val="15000"/>
                  <a:lumOff val="85000"/>
                </a:schemeClr>
              </a:solidFill>
              <a:round/>
            </a:ln>
            <a:effectLst/>
          </c:spPr>
        </c:majorGridlines>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968639"/>
        <c:crosses val="autoZero"/>
        <c:auto val="1"/>
        <c:lblOffset val="100"/>
        <c:baseTimeUnit val="days"/>
      </c:dateAx>
      <c:valAx>
        <c:axId val="675968639"/>
        <c:scaling>
          <c:orientation val="minMax"/>
          <c:max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3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Coupages détectés pour la cocaïne (n=107)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3A-914E-B00C-4F50BEC2D5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93A-914E-B00C-4F50BEC2D5E4}"/>
              </c:ext>
            </c:extLst>
          </c:dPt>
          <c:dLbls>
            <c:dLbl>
              <c:idx val="0"/>
              <c:layout>
                <c:manualLayout>
                  <c:x val="-0.25007992125984252"/>
                  <c:y val="-0.11249332986269278"/>
                </c:manualLayout>
              </c:layout>
              <c:tx>
                <c:rich>
                  <a:bodyPr/>
                  <a:lstStyle/>
                  <a:p>
                    <a:r>
                      <a:rPr lang="en-US"/>
                      <a:t>n=</a:t>
                    </a:r>
                    <a:fld id="{21527E56-D0F7-9641-8D0E-533EB60DB161}" type="VALUE">
                      <a:rPr lang="en-US"/>
                      <a:pPr/>
                      <a:t>[VALEUR]</a:t>
                    </a:fld>
                    <a:r>
                      <a:rPr lang="en-US" baseline="0"/>
                      <a:t>; </a:t>
                    </a:r>
                    <a:fld id="{DE827AE8-B1F9-2B46-B6D8-D6F577B12329}" type="PERCENTAGE">
                      <a:rPr lang="en-US" baseline="0"/>
                      <a:pPr/>
                      <a:t>[POURCENTAGE]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93A-914E-B00C-4F50BEC2D5E4}"/>
                </c:ext>
              </c:extLst>
            </c:dLbl>
            <c:dLbl>
              <c:idx val="1"/>
              <c:layout>
                <c:manualLayout>
                  <c:x val="0.24507952755905513"/>
                  <c:y val="6.9028762933558918E-2"/>
                </c:manualLayout>
              </c:layout>
              <c:tx>
                <c:rich>
                  <a:bodyPr/>
                  <a:lstStyle/>
                  <a:p>
                    <a:r>
                      <a:rPr lang="en-US"/>
                      <a:t>n=</a:t>
                    </a:r>
                    <a:fld id="{8F7F1EE0-87C6-D249-8ECD-F3664ADEBA4C}" type="VALUE">
                      <a:rPr lang="en-US"/>
                      <a:pPr/>
                      <a:t>[VALEUR]</a:t>
                    </a:fld>
                    <a:r>
                      <a:rPr lang="en-US" baseline="0"/>
                      <a:t>; </a:t>
                    </a:r>
                    <a:fld id="{2C96B6EE-21EC-F24C-ABA9-DC35F6A571FC}" type="PERCENTAGE">
                      <a:rPr lang="en-US" baseline="0"/>
                      <a:pPr/>
                      <a:t>[POURCENTAGE]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93A-914E-B00C-4F50BEC2D5E4}"/>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'Coupages NIR'!$AM$2:$AM$3</c:f>
              <c:strCache>
                <c:ptCount val="2"/>
                <c:pt idx="0">
                  <c:v>Sucrose</c:v>
                </c:pt>
                <c:pt idx="1">
                  <c:v>Lactose</c:v>
                </c:pt>
              </c:strCache>
            </c:strRef>
          </c:cat>
          <c:val>
            <c:numRef>
              <c:f>'Coupages NIR'!$AN$2:$AN$3</c:f>
              <c:numCache>
                <c:formatCode>General</c:formatCode>
                <c:ptCount val="2"/>
                <c:pt idx="0">
                  <c:v>78</c:v>
                </c:pt>
                <c:pt idx="1">
                  <c:v>21</c:v>
                </c:pt>
              </c:numCache>
            </c:numRef>
          </c:val>
          <c:extLst>
            <c:ext xmlns:c16="http://schemas.microsoft.com/office/drawing/2014/chart" uri="{C3380CC4-5D6E-409C-BE32-E72D297353CC}">
              <c16:uniqueId val="{00000000-693A-914E-B00C-4F50BEC2D5E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Coupages détectés pour l'héroïne (n=95)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C3E-1F41-B6ED-1737F1DA07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3E-1F41-B6ED-1737F1DA07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2C3E-1F41-B6ED-1737F1DA07CC}"/>
              </c:ext>
            </c:extLst>
          </c:dPt>
          <c:dLbls>
            <c:dLbl>
              <c:idx val="0"/>
              <c:tx>
                <c:rich>
                  <a:bodyPr/>
                  <a:lstStyle/>
                  <a:p>
                    <a:r>
                      <a:rPr lang="en-US"/>
                      <a:t>n=</a:t>
                    </a:r>
                    <a:fld id="{D7072DA7-7ABC-2B4E-A9F2-C0DB8BCF0CD6}" type="VALUE">
                      <a:rPr lang="en-US"/>
                      <a:pPr/>
                      <a:t>[VALEUR]</a:t>
                    </a:fld>
                    <a:r>
                      <a:rPr lang="en-US" baseline="0"/>
                      <a:t>; </a:t>
                    </a:r>
                    <a:fld id="{AF1E7482-8DD2-7845-848D-51ADB8EC2789}" type="PERCENTAGE">
                      <a:rPr lang="en-US" baseline="0"/>
                      <a:pPr/>
                      <a:t>[POURCENTAGE]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C3E-1F41-B6ED-1737F1DA07CC}"/>
                </c:ext>
              </c:extLst>
            </c:dLbl>
            <c:dLbl>
              <c:idx val="1"/>
              <c:tx>
                <c:rich>
                  <a:bodyPr/>
                  <a:lstStyle/>
                  <a:p>
                    <a:r>
                      <a:rPr lang="en-US"/>
                      <a:t>n=</a:t>
                    </a:r>
                    <a:fld id="{9D0403CA-7656-B24C-9586-EF844527D652}" type="VALUE">
                      <a:rPr lang="en-US"/>
                      <a:pPr/>
                      <a:t>[VALEUR]</a:t>
                    </a:fld>
                    <a:r>
                      <a:rPr lang="en-US" baseline="0"/>
                      <a:t>; </a:t>
                    </a:r>
                    <a:fld id="{8266EEF1-5841-E84F-BAB2-7468C408F179}" type="PERCENTAGE">
                      <a:rPr lang="en-US" baseline="0"/>
                      <a:pPr/>
                      <a:t>[POURCENTAGE]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C3E-1F41-B6ED-1737F1DA07CC}"/>
                </c:ext>
              </c:extLst>
            </c:dLbl>
            <c:dLbl>
              <c:idx val="2"/>
              <c:layout>
                <c:manualLayout>
                  <c:x val="-0.17808170717790714"/>
                  <c:y val="2.6263487897346165E-2"/>
                </c:manualLayout>
              </c:layout>
              <c:tx>
                <c:rich>
                  <a:bodyPr/>
                  <a:lstStyle/>
                  <a:p>
                    <a:r>
                      <a:rPr lang="en-US"/>
                      <a:t>n=</a:t>
                    </a:r>
                    <a:fld id="{5AE85C69-E4D1-7047-A06E-656A95288BFD}" type="VALUE">
                      <a:rPr lang="en-US"/>
                      <a:pPr/>
                      <a:t>[VALEUR]</a:t>
                    </a:fld>
                    <a:r>
                      <a:rPr lang="en-US" baseline="0"/>
                      <a:t>; </a:t>
                    </a:r>
                    <a:fld id="{FEE96BA8-ED9E-F94F-B370-CEA55C4032B5}" type="PERCENTAGE">
                      <a:rPr lang="en-US" baseline="0"/>
                      <a:pPr/>
                      <a:t>[POURCENTAGE]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C3E-1F41-B6ED-1737F1DA07C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'Coupages NIR'!$AM$13:$AM$15</c:f>
              <c:strCache>
                <c:ptCount val="2"/>
                <c:pt idx="0">
                  <c:v>Caféine</c:v>
                </c:pt>
                <c:pt idx="1">
                  <c:v>Caféine, paracétamol</c:v>
                </c:pt>
              </c:strCache>
            </c:strRef>
          </c:cat>
          <c:val>
            <c:numRef>
              <c:f>'Coupages NIR'!$AN$13:$AN$15</c:f>
              <c:numCache>
                <c:formatCode>General</c:formatCode>
                <c:ptCount val="3"/>
                <c:pt idx="0">
                  <c:v>67</c:v>
                </c:pt>
                <c:pt idx="1">
                  <c:v>19</c:v>
                </c:pt>
              </c:numCache>
            </c:numRef>
          </c:val>
          <c:extLst>
            <c:ext xmlns:c16="http://schemas.microsoft.com/office/drawing/2014/chart" uri="{C3380CC4-5D6E-409C-BE32-E72D297353CC}">
              <c16:uniqueId val="{00000000-2C3E-1F41-B6ED-1737F1DA07C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Pureté cocaïne avec détection coupage (n=107)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'Coupages NIR'!$AS$2</c:f>
              <c:strCache>
                <c:ptCount val="1"/>
                <c:pt idx="0">
                  <c:v>min</c:v>
                </c:pt>
              </c:strCache>
            </c:strRef>
          </c:tx>
          <c:spPr>
            <a:noFill/>
            <a:ln>
              <a:noFill/>
            </a:ln>
            <a:effectLst/>
          </c:spPr>
          <c:invertIfNegative val="0"/>
          <c:cat>
            <c:strRef>
              <c:f>'Coupages NIR'!$AT$1</c:f>
              <c:strCache>
                <c:ptCount val="1"/>
                <c:pt idx="0">
                  <c:v>Cocaine sel</c:v>
                </c:pt>
              </c:strCache>
            </c:strRef>
          </c:cat>
          <c:val>
            <c:numRef>
              <c:f>'Coupages NIR'!$AT$2</c:f>
              <c:numCache>
                <c:formatCode>General</c:formatCode>
                <c:ptCount val="1"/>
                <c:pt idx="0">
                  <c:v>26.3</c:v>
                </c:pt>
              </c:numCache>
            </c:numRef>
          </c:val>
          <c:extLst>
            <c:ext xmlns:c16="http://schemas.microsoft.com/office/drawing/2014/chart" uri="{C3380CC4-5D6E-409C-BE32-E72D297353CC}">
              <c16:uniqueId val="{00000000-2D74-E14A-B5FB-89319035CB28}"/>
            </c:ext>
          </c:extLst>
        </c:ser>
        <c:ser>
          <c:idx val="1"/>
          <c:order val="1"/>
          <c:tx>
            <c:strRef>
              <c:f>'Coupages NIR'!$AS$3</c:f>
              <c:strCache>
                <c:ptCount val="1"/>
                <c:pt idx="0">
                  <c:v>1-min</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'Coupages NIR'!$AT$1</c:f>
              <c:strCache>
                <c:ptCount val="1"/>
                <c:pt idx="0">
                  <c:v>Cocaine sel</c:v>
                </c:pt>
              </c:strCache>
            </c:strRef>
          </c:cat>
          <c:val>
            <c:numRef>
              <c:f>'Coupages NIR'!$AT$3</c:f>
              <c:numCache>
                <c:formatCode>General</c:formatCode>
                <c:ptCount val="1"/>
                <c:pt idx="0">
                  <c:v>31.100000000000005</c:v>
                </c:pt>
              </c:numCache>
            </c:numRef>
          </c:val>
          <c:extLst>
            <c:ext xmlns:c16="http://schemas.microsoft.com/office/drawing/2014/chart" uri="{C3380CC4-5D6E-409C-BE32-E72D297353CC}">
              <c16:uniqueId val="{00000001-2D74-E14A-B5FB-89319035CB28}"/>
            </c:ext>
          </c:extLst>
        </c:ser>
        <c:ser>
          <c:idx val="2"/>
          <c:order val="2"/>
          <c:tx>
            <c:strRef>
              <c:f>'Coupages NIR'!$AS$4</c:f>
              <c:strCache>
                <c:ptCount val="1"/>
                <c:pt idx="0">
                  <c:v>méd-1</c:v>
                </c:pt>
              </c:strCache>
            </c:strRef>
          </c:tx>
          <c:spPr>
            <a:solidFill>
              <a:schemeClr val="accent5">
                <a:lumMod val="20000"/>
                <a:lumOff val="80000"/>
              </a:schemeClr>
            </a:solidFill>
            <a:ln>
              <a:solidFill>
                <a:schemeClr val="tx1">
                  <a:lumMod val="50000"/>
                  <a:lumOff val="50000"/>
                </a:schemeClr>
              </a:solidFill>
            </a:ln>
            <a:effectLst/>
          </c:spPr>
          <c:invertIfNegative val="0"/>
          <c:cat>
            <c:strRef>
              <c:f>'Coupages NIR'!$AT$1</c:f>
              <c:strCache>
                <c:ptCount val="1"/>
                <c:pt idx="0">
                  <c:v>Cocaine sel</c:v>
                </c:pt>
              </c:strCache>
            </c:strRef>
          </c:cat>
          <c:val>
            <c:numRef>
              <c:f>'Coupages NIR'!$AT$4</c:f>
              <c:numCache>
                <c:formatCode>General</c:formatCode>
                <c:ptCount val="1"/>
                <c:pt idx="0">
                  <c:v>8.6999999999999886</c:v>
                </c:pt>
              </c:numCache>
            </c:numRef>
          </c:val>
          <c:extLst>
            <c:ext xmlns:c16="http://schemas.microsoft.com/office/drawing/2014/chart" uri="{C3380CC4-5D6E-409C-BE32-E72D297353CC}">
              <c16:uniqueId val="{00000002-2D74-E14A-B5FB-89319035CB28}"/>
            </c:ext>
          </c:extLst>
        </c:ser>
        <c:ser>
          <c:idx val="3"/>
          <c:order val="3"/>
          <c:tx>
            <c:strRef>
              <c:f>'Coupages NIR'!$AS$5</c:f>
              <c:strCache>
                <c:ptCount val="1"/>
                <c:pt idx="0">
                  <c:v>3-méd</c:v>
                </c:pt>
              </c:strCache>
            </c:strRef>
          </c:tx>
          <c:spPr>
            <a:solidFill>
              <a:schemeClr val="accent5">
                <a:lumMod val="20000"/>
                <a:lumOff val="80000"/>
              </a:schemeClr>
            </a:solidFill>
            <a:ln>
              <a:solidFill>
                <a:schemeClr val="tx1">
                  <a:lumMod val="50000"/>
                  <a:lumOff val="50000"/>
                </a:schemeClr>
              </a:solidFill>
            </a:ln>
            <a:effectLst/>
          </c:spPr>
          <c:invertIfNegative val="0"/>
          <c:cat>
            <c:strRef>
              <c:f>'Coupages NIR'!$AT$1</c:f>
              <c:strCache>
                <c:ptCount val="1"/>
                <c:pt idx="0">
                  <c:v>Cocaine sel</c:v>
                </c:pt>
              </c:strCache>
            </c:strRef>
          </c:cat>
          <c:val>
            <c:numRef>
              <c:f>'Coupages NIR'!$AT$5</c:f>
              <c:numCache>
                <c:formatCode>General</c:formatCode>
                <c:ptCount val="1"/>
                <c:pt idx="0">
                  <c:v>3.5500000000000114</c:v>
                </c:pt>
              </c:numCache>
            </c:numRef>
          </c:val>
          <c:extLst>
            <c:ext xmlns:c16="http://schemas.microsoft.com/office/drawing/2014/chart" uri="{C3380CC4-5D6E-409C-BE32-E72D297353CC}">
              <c16:uniqueId val="{00000003-2D74-E14A-B5FB-89319035CB28}"/>
            </c:ext>
          </c:extLst>
        </c:ser>
        <c:ser>
          <c:idx val="4"/>
          <c:order val="4"/>
          <c:tx>
            <c:strRef>
              <c:f>'Coupages NIR'!$AS$6</c:f>
              <c:strCache>
                <c:ptCount val="1"/>
                <c:pt idx="0">
                  <c:v>max-3</c:v>
                </c:pt>
              </c:strCache>
            </c:strRef>
          </c:tx>
          <c:spPr>
            <a:noFill/>
            <a:ln>
              <a:noFill/>
            </a:ln>
            <a:effectLst/>
          </c:spPr>
          <c:invertIfNegative val="0"/>
          <c:errBars>
            <c:errBarType val="minus"/>
            <c:errValType val="percentage"/>
            <c:noEndCap val="1"/>
            <c:val val="100"/>
            <c:spPr>
              <a:noFill/>
              <a:ln w="9525" cap="flat" cmpd="sng" algn="ctr">
                <a:solidFill>
                  <a:schemeClr val="tx1">
                    <a:lumMod val="65000"/>
                    <a:lumOff val="35000"/>
                  </a:schemeClr>
                </a:solidFill>
                <a:round/>
              </a:ln>
              <a:effectLst/>
            </c:spPr>
          </c:errBars>
          <c:cat>
            <c:strRef>
              <c:f>'Coupages NIR'!$AT$1</c:f>
              <c:strCache>
                <c:ptCount val="1"/>
                <c:pt idx="0">
                  <c:v>Cocaine sel</c:v>
                </c:pt>
              </c:strCache>
            </c:strRef>
          </c:cat>
          <c:val>
            <c:numRef>
              <c:f>'Coupages NIR'!$AT$6</c:f>
              <c:numCache>
                <c:formatCode>General</c:formatCode>
                <c:ptCount val="1"/>
                <c:pt idx="0">
                  <c:v>10.649999999999991</c:v>
                </c:pt>
              </c:numCache>
            </c:numRef>
          </c:val>
          <c:extLst>
            <c:ext xmlns:c16="http://schemas.microsoft.com/office/drawing/2014/chart" uri="{C3380CC4-5D6E-409C-BE32-E72D297353CC}">
              <c16:uniqueId val="{00000006-2D74-E14A-B5FB-89319035CB28}"/>
            </c:ext>
          </c:extLst>
        </c:ser>
        <c:dLbls>
          <c:showLegendKey val="0"/>
          <c:showVal val="0"/>
          <c:showCatName val="0"/>
          <c:showSerName val="0"/>
          <c:showPercent val="0"/>
          <c:showBubbleSize val="0"/>
        </c:dLbls>
        <c:gapWidth val="150"/>
        <c:overlap val="100"/>
        <c:axId val="70560415"/>
        <c:axId val="71165055"/>
      </c:barChart>
      <c:catAx>
        <c:axId val="70560415"/>
        <c:scaling>
          <c:orientation val="minMax"/>
        </c:scaling>
        <c:delete val="1"/>
        <c:axPos val="b"/>
        <c:numFmt formatCode="General" sourceLinked="1"/>
        <c:majorTickMark val="none"/>
        <c:minorTickMark val="none"/>
        <c:tickLblPos val="nextTo"/>
        <c:crossAx val="71165055"/>
        <c:crosses val="autoZero"/>
        <c:auto val="1"/>
        <c:lblAlgn val="ctr"/>
        <c:lblOffset val="100"/>
        <c:noMultiLvlLbl val="0"/>
      </c:catAx>
      <c:valAx>
        <c:axId val="71165055"/>
        <c:scaling>
          <c:orientation val="minMax"/>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056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Distribution âge (n=365)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barChart>
        <c:barDir val="col"/>
        <c:grouping val="clustered"/>
        <c:varyColors val="0"/>
        <c:ser>
          <c:idx val="1"/>
          <c:order val="0"/>
          <c:tx>
            <c:strRef>
              <c:f>'Ages et sexe (antenne)'!$T$4</c:f>
              <c:strCache>
                <c:ptCount val="1"/>
                <c:pt idx="0">
                  <c:v>Frequence</c:v>
                </c:pt>
              </c:strCache>
            </c:strRef>
          </c:tx>
          <c:spPr>
            <a:solidFill>
              <a:schemeClr val="accent5">
                <a:lumMod val="20000"/>
                <a:lumOff val="80000"/>
              </a:schemeClr>
            </a:solidFill>
            <a:ln>
              <a:solidFill>
                <a:schemeClr val="bg1">
                  <a:lumMod val="65000"/>
                </a:schemeClr>
              </a:solidFill>
            </a:ln>
            <a:effectLst/>
          </c:spPr>
          <c:invertIfNegative val="0"/>
          <c:dLbls>
            <c:dLbl>
              <c:idx val="0"/>
              <c:tx>
                <c:rich>
                  <a:bodyPr/>
                  <a:lstStyle/>
                  <a:p>
                    <a:fld id="{9CC5E986-A414-734D-9E03-4BE1785F23B9}" type="CELLRANGE">
                      <a:rPr lang="en-US"/>
                      <a:pPr/>
                      <a:t>[PLAGECELL]</a:t>
                    </a:fld>
                    <a:r>
                      <a:rPr lang="en-US"/>
                      <a:t>%</a:t>
                    </a:r>
                    <a:endParaRPr lang="en-US" baseline="0"/>
                  </a:p>
                  <a:p>
                    <a:r>
                      <a:rPr lang="en-US"/>
                      <a:t>n=</a:t>
                    </a:r>
                    <a:fld id="{4DE8AB55-9874-FC4B-AF45-F11814799024}"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6239-5D44-B124-80BA7877F006}"/>
                </c:ext>
              </c:extLst>
            </c:dLbl>
            <c:dLbl>
              <c:idx val="1"/>
              <c:tx>
                <c:rich>
                  <a:bodyPr/>
                  <a:lstStyle/>
                  <a:p>
                    <a:fld id="{5E0002AC-DEC3-CB49-8BD0-556077AEEB09}" type="CELLRANGE">
                      <a:rPr lang="en-US"/>
                      <a:pPr/>
                      <a:t>[PLAGECELL]</a:t>
                    </a:fld>
                    <a:r>
                      <a:rPr lang="en-US"/>
                      <a:t>%</a:t>
                    </a:r>
                    <a:endParaRPr lang="en-US" baseline="0"/>
                  </a:p>
                  <a:p>
                    <a:r>
                      <a:rPr lang="en-US"/>
                      <a:t>n=</a:t>
                    </a:r>
                    <a:fld id="{9235899E-5056-5F43-9C8F-7AF368D3A4FD}"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6239-5D44-B124-80BA7877F006}"/>
                </c:ext>
              </c:extLst>
            </c:dLbl>
            <c:dLbl>
              <c:idx val="2"/>
              <c:tx>
                <c:rich>
                  <a:bodyPr/>
                  <a:lstStyle/>
                  <a:p>
                    <a:fld id="{D14169E7-E08A-2F4F-8CA5-0601348001E5}" type="CELLRANGE">
                      <a:rPr lang="en-US"/>
                      <a:pPr/>
                      <a:t>[PLAGECELL]</a:t>
                    </a:fld>
                    <a:r>
                      <a:rPr lang="en-US"/>
                      <a:t>%</a:t>
                    </a:r>
                    <a:endParaRPr lang="en-US" baseline="0"/>
                  </a:p>
                  <a:p>
                    <a:r>
                      <a:rPr lang="en-US"/>
                      <a:t>n=</a:t>
                    </a:r>
                    <a:fld id="{B48706B0-0F7A-0647-ACB2-AD71FBD824DE}"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239-5D44-B124-80BA7877F006}"/>
                </c:ext>
              </c:extLst>
            </c:dLbl>
            <c:dLbl>
              <c:idx val="3"/>
              <c:tx>
                <c:rich>
                  <a:bodyPr/>
                  <a:lstStyle/>
                  <a:p>
                    <a:fld id="{FD3DF6F2-8985-9545-83C6-C9891F8B2EBB}" type="CELLRANGE">
                      <a:rPr lang="en-US"/>
                      <a:pPr/>
                      <a:t>[PLAGECELL]</a:t>
                    </a:fld>
                    <a:r>
                      <a:rPr lang="en-US"/>
                      <a:t>%</a:t>
                    </a:r>
                    <a:endParaRPr lang="en-US" baseline="0"/>
                  </a:p>
                  <a:p>
                    <a:r>
                      <a:rPr lang="en-US"/>
                      <a:t>n=</a:t>
                    </a:r>
                    <a:fld id="{2C6A1EB8-8A60-7A4A-9989-384BA961E324}"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6239-5D44-B124-80BA7877F006}"/>
                </c:ext>
              </c:extLst>
            </c:dLbl>
            <c:dLbl>
              <c:idx val="4"/>
              <c:tx>
                <c:rich>
                  <a:bodyPr/>
                  <a:lstStyle/>
                  <a:p>
                    <a:fld id="{DE07DD8E-2DE3-4B41-A1C1-6CAE3DEF4BFB}" type="CELLRANGE">
                      <a:rPr lang="en-US"/>
                      <a:pPr/>
                      <a:t>[PLAGECELL]</a:t>
                    </a:fld>
                    <a:r>
                      <a:rPr lang="en-US"/>
                      <a:t>%</a:t>
                    </a:r>
                    <a:endParaRPr lang="en-US" baseline="0"/>
                  </a:p>
                  <a:p>
                    <a:r>
                      <a:rPr lang="en-US"/>
                      <a:t>n=</a:t>
                    </a:r>
                    <a:fld id="{D819D11E-986F-CB4F-893D-4C430E62C80B}"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6239-5D44-B124-80BA7877F006}"/>
                </c:ext>
              </c:extLst>
            </c:dLbl>
            <c:dLbl>
              <c:idx val="5"/>
              <c:tx>
                <c:rich>
                  <a:bodyPr/>
                  <a:lstStyle/>
                  <a:p>
                    <a:fld id="{C1D6F4EF-5CF0-9044-B0D7-BC74B077FFF3}" type="CELLRANGE">
                      <a:rPr lang="en-US"/>
                      <a:pPr/>
                      <a:t>[PLAGECELL]</a:t>
                    </a:fld>
                    <a:r>
                      <a:rPr lang="en-US"/>
                      <a:t>%</a:t>
                    </a:r>
                    <a:endParaRPr lang="en-US" baseline="0"/>
                  </a:p>
                  <a:p>
                    <a:r>
                      <a:rPr lang="en-US"/>
                      <a:t>n=</a:t>
                    </a:r>
                    <a:fld id="{59D6C214-5A5F-5D4E-9028-E1F269E4CFEA}"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6239-5D44-B124-80BA7877F006}"/>
                </c:ext>
              </c:extLst>
            </c:dLbl>
            <c:dLbl>
              <c:idx val="6"/>
              <c:tx>
                <c:rich>
                  <a:bodyPr/>
                  <a:lstStyle/>
                  <a:p>
                    <a:fld id="{4F60A030-3AA3-D14A-8E88-D2895AB0E08B}" type="CELLRANGE">
                      <a:rPr lang="en-US"/>
                      <a:pPr/>
                      <a:t>[PLAGECELL]</a:t>
                    </a:fld>
                    <a:r>
                      <a:rPr lang="en-US"/>
                      <a:t>%</a:t>
                    </a:r>
                    <a:endParaRPr lang="en-US" baseline="0"/>
                  </a:p>
                  <a:p>
                    <a:r>
                      <a:rPr lang="en-US"/>
                      <a:t>n=</a:t>
                    </a:r>
                    <a:fld id="{420663CB-C7C7-0446-AD41-1AD659EE69EE}"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6239-5D44-B124-80BA7877F006}"/>
                </c:ext>
              </c:extLst>
            </c:dLbl>
            <c:dLbl>
              <c:idx val="7"/>
              <c:tx>
                <c:rich>
                  <a:bodyPr/>
                  <a:lstStyle/>
                  <a:p>
                    <a:fld id="{AE869E9A-F8CE-674E-BF9C-2EF64A407BB3}" type="CELLRANGE">
                      <a:rPr lang="en-US"/>
                      <a:pPr/>
                      <a:t>[PLAGECELL]</a:t>
                    </a:fld>
                    <a:r>
                      <a:rPr lang="en-US"/>
                      <a:t>%</a:t>
                    </a:r>
                    <a:endParaRPr lang="en-US" baseline="0"/>
                  </a:p>
                  <a:p>
                    <a:r>
                      <a:rPr lang="en-US"/>
                      <a:t>n=</a:t>
                    </a:r>
                    <a:fld id="{8B44FF23-AEAE-B849-9C18-0D4DD8E97825}"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6239-5D44-B124-80BA7877F006}"/>
                </c:ext>
              </c:extLst>
            </c:dLbl>
            <c:dLbl>
              <c:idx val="8"/>
              <c:tx>
                <c:rich>
                  <a:bodyPr/>
                  <a:lstStyle/>
                  <a:p>
                    <a:fld id="{D06B557C-9C5A-B348-9664-101B35E2363D}" type="CELLRANGE">
                      <a:rPr lang="en-US"/>
                      <a:pPr/>
                      <a:t>[PLAGECELL]</a:t>
                    </a:fld>
                    <a:r>
                      <a:rPr lang="en-US"/>
                      <a:t>%</a:t>
                    </a:r>
                    <a:endParaRPr lang="en-US" baseline="0"/>
                  </a:p>
                  <a:p>
                    <a:r>
                      <a:rPr lang="en-US"/>
                      <a:t>n=</a:t>
                    </a:r>
                    <a:fld id="{309F7425-8607-6546-A0EA-0BE8047776EB}"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FDE9-F343-8FD2-1B60DAB7D352}"/>
                </c:ext>
              </c:extLst>
            </c:dLbl>
            <c:dLbl>
              <c:idx val="9"/>
              <c:tx>
                <c:rich>
                  <a:bodyPr/>
                  <a:lstStyle/>
                  <a:p>
                    <a:fld id="{10C16CEE-CF9D-334F-B8FE-5900737F7D32}" type="CELLRANGE">
                      <a:rPr lang="en-US"/>
                      <a:pPr/>
                      <a:t>[PLAGECELL]</a:t>
                    </a:fld>
                    <a:r>
                      <a:rPr lang="en-US"/>
                      <a:t>%</a:t>
                    </a:r>
                    <a:endParaRPr lang="en-US" baseline="0"/>
                  </a:p>
                  <a:p>
                    <a:r>
                      <a:rPr lang="en-US"/>
                      <a:t>n=</a:t>
                    </a:r>
                    <a:fld id="{FA353BAA-899C-F843-99E0-A18ED83A3A0C}" type="VALUE">
                      <a:rPr lang="en-US"/>
                      <a:pPr/>
                      <a:t>[VALEUR]</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DE9-F343-8FD2-1B60DAB7D3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'Ages et sexe (antenne)'!$R$5:$R$14</c:f>
              <c:strCache>
                <c:ptCount val="10"/>
                <c:pt idx="0">
                  <c:v>≤18</c:v>
                </c:pt>
                <c:pt idx="1">
                  <c:v>18-25</c:v>
                </c:pt>
                <c:pt idx="2">
                  <c:v>25-30</c:v>
                </c:pt>
                <c:pt idx="3">
                  <c:v>30-35</c:v>
                </c:pt>
                <c:pt idx="4">
                  <c:v>35-40</c:v>
                </c:pt>
                <c:pt idx="5">
                  <c:v>40-45</c:v>
                </c:pt>
                <c:pt idx="6">
                  <c:v>45-50</c:v>
                </c:pt>
                <c:pt idx="7">
                  <c:v>50-55</c:v>
                </c:pt>
                <c:pt idx="8">
                  <c:v>55-60</c:v>
                </c:pt>
                <c:pt idx="9">
                  <c:v>&gt;60</c:v>
                </c:pt>
              </c:strCache>
            </c:strRef>
          </c:cat>
          <c:val>
            <c:numRef>
              <c:f>'Ages et sexe (antenne)'!$T$5:$T$14</c:f>
              <c:numCache>
                <c:formatCode>General</c:formatCode>
                <c:ptCount val="10"/>
                <c:pt idx="0">
                  <c:v>1</c:v>
                </c:pt>
                <c:pt idx="1">
                  <c:v>28</c:v>
                </c:pt>
                <c:pt idx="2">
                  <c:v>20</c:v>
                </c:pt>
                <c:pt idx="3">
                  <c:v>59</c:v>
                </c:pt>
                <c:pt idx="4">
                  <c:v>74</c:v>
                </c:pt>
                <c:pt idx="5">
                  <c:v>79</c:v>
                </c:pt>
                <c:pt idx="6">
                  <c:v>41</c:v>
                </c:pt>
                <c:pt idx="7">
                  <c:v>44</c:v>
                </c:pt>
                <c:pt idx="8">
                  <c:v>12</c:v>
                </c:pt>
                <c:pt idx="9">
                  <c:v>7</c:v>
                </c:pt>
              </c:numCache>
            </c:numRef>
          </c:val>
          <c:extLst>
            <c:ext xmlns:c15="http://schemas.microsoft.com/office/drawing/2012/chart" uri="{02D57815-91ED-43cb-92C2-25804820EDAC}">
              <c15:datalabelsRange>
                <c15:f>'Ages et sexe (antenne)'!$U$5:$U$14</c15:f>
                <c15:dlblRangeCache>
                  <c:ptCount val="10"/>
                  <c:pt idx="0">
                    <c:v>0</c:v>
                  </c:pt>
                  <c:pt idx="1">
                    <c:v>8</c:v>
                  </c:pt>
                  <c:pt idx="2">
                    <c:v>5</c:v>
                  </c:pt>
                  <c:pt idx="3">
                    <c:v>16</c:v>
                  </c:pt>
                  <c:pt idx="4">
                    <c:v>20</c:v>
                  </c:pt>
                  <c:pt idx="5">
                    <c:v>22</c:v>
                  </c:pt>
                  <c:pt idx="6">
                    <c:v>11</c:v>
                  </c:pt>
                  <c:pt idx="7">
                    <c:v>12</c:v>
                  </c:pt>
                  <c:pt idx="8">
                    <c:v>3</c:v>
                  </c:pt>
                  <c:pt idx="9">
                    <c:v>2</c:v>
                  </c:pt>
                </c15:dlblRangeCache>
              </c15:datalabelsRange>
            </c:ext>
            <c:ext xmlns:c16="http://schemas.microsoft.com/office/drawing/2014/chart" uri="{C3380CC4-5D6E-409C-BE32-E72D297353CC}">
              <c16:uniqueId val="{00000007-6239-5D44-B124-80BA7877F006}"/>
            </c:ext>
          </c:extLst>
        </c:ser>
        <c:dLbls>
          <c:dLblPos val="outEnd"/>
          <c:showLegendKey val="0"/>
          <c:showVal val="1"/>
          <c:showCatName val="0"/>
          <c:showSerName val="0"/>
          <c:showPercent val="0"/>
          <c:showBubbleSize val="0"/>
        </c:dLbls>
        <c:gapWidth val="219"/>
        <c:overlap val="-27"/>
        <c:axId val="1450824463"/>
        <c:axId val="1450310415"/>
      </c:barChart>
      <c:catAx>
        <c:axId val="145082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Pureté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310415"/>
        <c:crosses val="autoZero"/>
        <c:auto val="1"/>
        <c:lblAlgn val="ctr"/>
        <c:lblOffset val="100"/>
        <c:noMultiLvlLbl val="0"/>
      </c:catAx>
      <c:valAx>
        <c:axId val="1450310415"/>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Nb personnes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1450824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en-US"/>
              <a:t>Moyenne pureté héroïne à l'ECS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5">
                  <a:lumMod val="20000"/>
                  <a:lumOff val="80000"/>
                </a:schemeClr>
              </a:solidFill>
              <a:ln w="9525">
                <a:solidFill>
                  <a:schemeClr val="bg1">
                    <a:lumMod val="50000"/>
                  </a:schemeClr>
                </a:solidFill>
              </a:ln>
              <a:effectLst/>
            </c:spPr>
          </c:marker>
          <c:dLbls>
            <c:dLbl>
              <c:idx val="0"/>
              <c:tx>
                <c:rich>
                  <a:bodyPr/>
                  <a:lstStyle/>
                  <a:p>
                    <a:fld id="{8BB95AE8-1EC9-6440-BD97-739E59DE4384}" type="CELLRANGE">
                      <a:rPr lang="en-US"/>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EDE-A044-A991-9A6BBFE486A1}"/>
                </c:ext>
              </c:extLst>
            </c:dLbl>
            <c:dLbl>
              <c:idx val="1"/>
              <c:layout>
                <c:manualLayout>
                  <c:x val="-4.7858151605119116E-2"/>
                  <c:y val="-1.2492683196042877E-2"/>
                </c:manualLayout>
              </c:layout>
              <c:tx>
                <c:rich>
                  <a:bodyPr/>
                  <a:lstStyle/>
                  <a:p>
                    <a:fld id="{8724FD94-24C8-F14A-B0C5-74DA7D3565D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EDE-A044-A991-9A6BBFE486A1}"/>
                </c:ext>
              </c:extLst>
            </c:dLbl>
            <c:dLbl>
              <c:idx val="2"/>
              <c:layout>
                <c:manualLayout>
                  <c:x val="-2.5071289684351725E-2"/>
                  <c:y val="-3.7913840862409232E-2"/>
                </c:manualLayout>
              </c:layout>
              <c:tx>
                <c:rich>
                  <a:bodyPr/>
                  <a:lstStyle/>
                  <a:p>
                    <a:fld id="{61A89455-F295-EA43-8295-784DCAAAFD0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EDE-A044-A991-9A6BBFE486A1}"/>
                </c:ext>
              </c:extLst>
            </c:dLbl>
            <c:dLbl>
              <c:idx val="3"/>
              <c:layout>
                <c:manualLayout>
                  <c:x val="-2.5071289684351745E-2"/>
                  <c:y val="3.8349632136689835E-2"/>
                </c:manualLayout>
              </c:layout>
              <c:tx>
                <c:rich>
                  <a:bodyPr/>
                  <a:lstStyle/>
                  <a:p>
                    <a:fld id="{2AF6DD62-580F-C14D-B06A-64F69ADC1EB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EDE-A044-A991-9A6BBFE486A1}"/>
                </c:ext>
              </c:extLst>
            </c:dLbl>
            <c:dLbl>
              <c:idx val="4"/>
              <c:layout>
                <c:manualLayout>
                  <c:x val="-6.8418001477378119E-3"/>
                  <c:y val="1.656006842266149E-2"/>
                </c:manualLayout>
              </c:layout>
              <c:tx>
                <c:rich>
                  <a:bodyPr/>
                  <a:lstStyle/>
                  <a:p>
                    <a:fld id="{398C770E-9BF2-6E4F-86BA-49DED8644B8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EDE-A044-A991-9A6BBFE486A1}"/>
                </c:ext>
              </c:extLst>
            </c:dLbl>
            <c:dLbl>
              <c:idx val="5"/>
              <c:layout>
                <c:manualLayout>
                  <c:x val="-2.5071289684351704E-2"/>
                  <c:y val="-4.1545434814747248E-2"/>
                </c:manualLayout>
              </c:layout>
              <c:tx>
                <c:rich>
                  <a:bodyPr/>
                  <a:lstStyle/>
                  <a:p>
                    <a:fld id="{491BDE5B-137F-6A4B-9777-2656D10C778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EDE-A044-A991-9A6BBFE486A1}"/>
                </c:ext>
              </c:extLst>
            </c:dLbl>
            <c:dLbl>
              <c:idx val="6"/>
              <c:layout>
                <c:manualLayout>
                  <c:x val="-2.5071289684351725E-2"/>
                  <c:y val="3.8349632136689696E-2"/>
                </c:manualLayout>
              </c:layout>
              <c:tx>
                <c:rich>
                  <a:bodyPr/>
                  <a:lstStyle/>
                  <a:p>
                    <a:fld id="{9C2D33E1-6ADD-8E48-AEBB-871C3C85D388}"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EDE-A044-A991-9A6BBFE486A1}"/>
                </c:ext>
              </c:extLst>
            </c:dLbl>
            <c:dLbl>
              <c:idx val="7"/>
              <c:layout>
                <c:manualLayout>
                  <c:x val="-2.5071289684351725E-2"/>
                  <c:y val="-3.7913840862409197E-2"/>
                </c:manualLayout>
              </c:layout>
              <c:tx>
                <c:rich>
                  <a:bodyPr/>
                  <a:lstStyle/>
                  <a:p>
                    <a:fld id="{89B620E1-D8FB-014B-A790-D178B54DDB5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EDE-A044-A991-9A6BBFE486A1}"/>
                </c:ext>
              </c:extLst>
            </c:dLbl>
            <c:dLbl>
              <c:idx val="8"/>
              <c:layout>
                <c:manualLayout>
                  <c:x val="-2.5071289684351725E-2"/>
                  <c:y val="-3.4282246910071153E-2"/>
                </c:manualLayout>
              </c:layout>
              <c:tx>
                <c:rich>
                  <a:bodyPr/>
                  <a:lstStyle/>
                  <a:p>
                    <a:fld id="{A52F7F14-CD25-BD4D-A943-DC3CC179F90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EDE-A044-A991-9A6BBFE486A1}"/>
                </c:ext>
              </c:extLst>
            </c:dLbl>
            <c:dLbl>
              <c:idx val="9"/>
              <c:layout>
                <c:manualLayout>
                  <c:x val="-2.5071289684351808E-2"/>
                  <c:y val="-3.7913840862409197E-2"/>
                </c:manualLayout>
              </c:layout>
              <c:tx>
                <c:rich>
                  <a:bodyPr/>
                  <a:lstStyle/>
                  <a:p>
                    <a:fld id="{4714064F-60AF-8047-AE80-119C15CA6BA2}"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EDE-A044-A991-9A6BBFE486A1}"/>
                </c:ext>
              </c:extLst>
            </c:dLbl>
            <c:dLbl>
              <c:idx val="10"/>
              <c:layout>
                <c:manualLayout>
                  <c:x val="-2.9628662068505202E-2"/>
                  <c:y val="4.1981226089027809E-2"/>
                </c:manualLayout>
              </c:layout>
              <c:tx>
                <c:rich>
                  <a:bodyPr/>
                  <a:lstStyle/>
                  <a:p>
                    <a:fld id="{D8BEDDD8-6B3E-7E40-BB02-363C2C713EE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EDE-A044-A991-9A6BBFE486A1}"/>
                </c:ext>
              </c:extLst>
            </c:dLbl>
            <c:dLbl>
              <c:idx val="11"/>
              <c:layout>
                <c:manualLayout>
                  <c:x val="-2.5071289684351808E-2"/>
                  <c:y val="-4.154543481474731E-2"/>
                </c:manualLayout>
              </c:layout>
              <c:tx>
                <c:rich>
                  <a:bodyPr/>
                  <a:lstStyle/>
                  <a:p>
                    <a:fld id="{61C18D10-251D-FE41-80EE-0CC83C8B38E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EDE-A044-A991-9A6BBFE486A1}"/>
                </c:ext>
              </c:extLst>
            </c:dLbl>
            <c:dLbl>
              <c:idx val="12"/>
              <c:layout>
                <c:manualLayout>
                  <c:x val="-2.5071289684351725E-2"/>
                  <c:y val="4.5612820041365923E-2"/>
                </c:manualLayout>
              </c:layout>
              <c:tx>
                <c:rich>
                  <a:bodyPr/>
                  <a:lstStyle/>
                  <a:p>
                    <a:fld id="{A50F05DF-7C4C-3E4B-968C-80FB5DBE635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EDE-A044-A991-9A6BBFE486A1}"/>
                </c:ext>
              </c:extLst>
            </c:dLbl>
            <c:dLbl>
              <c:idx val="13"/>
              <c:layout>
                <c:manualLayout>
                  <c:x val="-2.7349975876428463E-2"/>
                  <c:y val="-3.7913840862409197E-2"/>
                </c:manualLayout>
              </c:layout>
              <c:tx>
                <c:rich>
                  <a:bodyPr/>
                  <a:lstStyle/>
                  <a:p>
                    <a:fld id="{5C989BFC-F611-334E-93CF-116F3274177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EDE-A044-A991-9A6BBFE486A1}"/>
                </c:ext>
              </c:extLst>
            </c:dLbl>
            <c:dLbl>
              <c:idx val="14"/>
              <c:layout>
                <c:manualLayout>
                  <c:x val="-2.5071289684351725E-2"/>
                  <c:y val="3.8349632136689633E-2"/>
                </c:manualLayout>
              </c:layout>
              <c:tx>
                <c:rich>
                  <a:bodyPr/>
                  <a:lstStyle/>
                  <a:p>
                    <a:fld id="{39D645E0-2139-7E41-B3D3-FA5848FCADC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3EDE-A044-A991-9A6BBFE486A1}"/>
                </c:ext>
              </c:extLst>
            </c:dLbl>
            <c:dLbl>
              <c:idx val="15"/>
              <c:layout>
                <c:manualLayout>
                  <c:x val="-2.0513917300198244E-2"/>
                  <c:y val="2.7454850279675695E-2"/>
                </c:manualLayout>
              </c:layout>
              <c:tx>
                <c:rich>
                  <a:bodyPr/>
                  <a:lstStyle/>
                  <a:p>
                    <a:fld id="{46F599F6-15C8-5F41-8BF5-F9ACC02A8E1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EDE-A044-A991-9A6BBFE486A1}"/>
                </c:ext>
              </c:extLst>
            </c:dLbl>
            <c:dLbl>
              <c:idx val="16"/>
              <c:layout>
                <c:manualLayout>
                  <c:x val="-2.7349975876428463E-2"/>
                  <c:y val="-3.0650652957733174E-2"/>
                </c:manualLayout>
              </c:layout>
              <c:tx>
                <c:rich>
                  <a:bodyPr/>
                  <a:lstStyle/>
                  <a:p>
                    <a:fld id="{6C46BA8A-AFB9-9B45-A27B-998223303FF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EDE-A044-A991-9A6BBFE486A1}"/>
                </c:ext>
              </c:extLst>
            </c:dLbl>
            <c:dLbl>
              <c:idx val="17"/>
              <c:layout>
                <c:manualLayout>
                  <c:x val="-2.5071289684351725E-2"/>
                  <c:y val="4.1981226089027809E-2"/>
                </c:manualLayout>
              </c:layout>
              <c:tx>
                <c:rich>
                  <a:bodyPr/>
                  <a:lstStyle/>
                  <a:p>
                    <a:fld id="{E7D95E16-43BA-304A-B8AF-C69C70B8A06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EDE-A044-A991-9A6BBFE486A1}"/>
                </c:ext>
              </c:extLst>
            </c:dLbl>
            <c:dLbl>
              <c:idx val="18"/>
              <c:layout>
                <c:manualLayout>
                  <c:x val="-2.5071289684351725E-2"/>
                  <c:y val="-3.7913840862409197E-2"/>
                </c:manualLayout>
              </c:layout>
              <c:tx>
                <c:rich>
                  <a:bodyPr/>
                  <a:lstStyle/>
                  <a:p>
                    <a:fld id="{A5A351E3-7D40-7D49-8F77-1986CCBA4A7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3EDE-A044-A991-9A6BBFE486A1}"/>
                </c:ext>
              </c:extLst>
            </c:dLbl>
            <c:dLbl>
              <c:idx val="19"/>
              <c:layout>
                <c:manualLayout>
                  <c:x val="-1.938031577566747E-2"/>
                  <c:y val="3.8349632136689765E-2"/>
                </c:manualLayout>
              </c:layout>
              <c:tx>
                <c:rich>
                  <a:bodyPr/>
                  <a:lstStyle/>
                  <a:p>
                    <a:fld id="{AFE82EF3-B2AA-C54B-AD51-593B212411A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3EDE-A044-A991-9A6BBFE486A1}"/>
                </c:ext>
              </c:extLst>
            </c:dLbl>
            <c:dLbl>
              <c:idx val="20"/>
              <c:layout>
                <c:manualLayout>
                  <c:x val="-2.9628662068505368E-2"/>
                  <c:y val="-3.7913840862409197E-2"/>
                </c:manualLayout>
              </c:layout>
              <c:tx>
                <c:rich>
                  <a:bodyPr/>
                  <a:lstStyle/>
                  <a:p>
                    <a:fld id="{BD678039-1CED-0041-904C-A0DD3139A49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3EDE-A044-A991-9A6BBFE486A1}"/>
                </c:ext>
              </c:extLst>
            </c:dLbl>
            <c:dLbl>
              <c:idx val="21"/>
              <c:layout>
                <c:manualLayout>
                  <c:x val="-1.8235231108121506E-2"/>
                  <c:y val="3.8349632136689765E-2"/>
                </c:manualLayout>
              </c:layout>
              <c:tx>
                <c:rich>
                  <a:bodyPr/>
                  <a:lstStyle/>
                  <a:p>
                    <a:fld id="{CB56EAC8-2933-E544-83D6-F842666A1FC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3EDE-A044-A991-9A6BBFE486A1}"/>
                </c:ext>
              </c:extLst>
            </c:dLbl>
            <c:dLbl>
              <c:idx val="22"/>
              <c:layout>
                <c:manualLayout>
                  <c:x val="-1.1399172531891457E-2"/>
                  <c:y val="3.4718038184351784E-2"/>
                </c:manualLayout>
              </c:layout>
              <c:tx>
                <c:rich>
                  <a:bodyPr/>
                  <a:lstStyle/>
                  <a:p>
                    <a:fld id="{F2CA4BF4-F8DE-1545-A55C-2CB21E734FD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EDE-A044-A991-9A6BBFE486A1}"/>
                </c:ext>
              </c:extLst>
            </c:dLbl>
            <c:dLbl>
              <c:idx val="23"/>
              <c:layout>
                <c:manualLayout>
                  <c:x val="-4.1022093028888894E-2"/>
                  <c:y val="-3.4282246910071153E-2"/>
                </c:manualLayout>
              </c:layout>
              <c:tx>
                <c:rich>
                  <a:bodyPr/>
                  <a:lstStyle/>
                  <a:p>
                    <a:fld id="{8848016A-E4A8-BF4D-AB33-C1642089A04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3EDE-A044-A991-9A6BBFE486A1}"/>
                </c:ext>
              </c:extLst>
            </c:dLbl>
            <c:dLbl>
              <c:idx val="24"/>
              <c:layout>
                <c:manualLayout>
                  <c:x val="-4.3300779220965806E-2"/>
                  <c:y val="-3.4282246910071153E-2"/>
                </c:manualLayout>
              </c:layout>
              <c:tx>
                <c:rich>
                  <a:bodyPr/>
                  <a:lstStyle/>
                  <a:p>
                    <a:fld id="{9F437EEC-B337-CA4E-8393-E476D4B5B3D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3EDE-A044-A991-9A6BBFE486A1}"/>
                </c:ext>
              </c:extLst>
            </c:dLbl>
            <c:dLbl>
              <c:idx val="25"/>
              <c:layout>
                <c:manualLayout>
                  <c:x val="-2.5071289684351725E-2"/>
                  <c:y val="-3.4282246910071153E-2"/>
                </c:manualLayout>
              </c:layout>
              <c:tx>
                <c:rich>
                  <a:bodyPr/>
                  <a:lstStyle/>
                  <a:p>
                    <a:fld id="{1B490DDE-1C8F-4D41-873A-F47421E1FE9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3EDE-A044-A991-9A6BBFE486A1}"/>
                </c:ext>
              </c:extLst>
            </c:dLbl>
            <c:dLbl>
              <c:idx val="26"/>
              <c:layout>
                <c:manualLayout>
                  <c:x val="-2.734997587642863E-2"/>
                  <c:y val="3.4718038184351721E-2"/>
                </c:manualLayout>
              </c:layout>
              <c:tx>
                <c:rich>
                  <a:bodyPr/>
                  <a:lstStyle/>
                  <a:p>
                    <a:fld id="{4920982D-500F-FC4A-AC17-B5DB4C344E1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3EDE-A044-A991-9A6BBFE486A1}"/>
                </c:ext>
              </c:extLst>
            </c:dLbl>
            <c:dLbl>
              <c:idx val="27"/>
              <c:layout>
                <c:manualLayout>
                  <c:x val="-2.7349975876428463E-2"/>
                  <c:y val="-3.4282246910071153E-2"/>
                </c:manualLayout>
              </c:layout>
              <c:tx>
                <c:rich>
                  <a:bodyPr/>
                  <a:lstStyle/>
                  <a:p>
                    <a:fld id="{89B18840-3EE6-BA4F-9D3A-2503CEFE648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3EDE-A044-A991-9A6BBFE486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Helvetica Neue Light" panose="02000403000000020004" pitchFamily="2" charset="0"/>
                    <a:ea typeface="Helvetica Neue Light" panose="02000403000000020004" pitchFamily="2" charset="0"/>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Pacson!$Q$3:$Q$30</c:f>
              <c:numCache>
                <c:formatCode>m/d/yy</c:formatCode>
                <c:ptCount val="28"/>
                <c:pt idx="0">
                  <c:v>44872</c:v>
                </c:pt>
                <c:pt idx="1">
                  <c:v>44909</c:v>
                </c:pt>
                <c:pt idx="2">
                  <c:v>44916</c:v>
                </c:pt>
                <c:pt idx="3">
                  <c:v>44937</c:v>
                </c:pt>
                <c:pt idx="4">
                  <c:v>44944</c:v>
                </c:pt>
                <c:pt idx="5">
                  <c:v>44958</c:v>
                </c:pt>
                <c:pt idx="6">
                  <c:v>45042</c:v>
                </c:pt>
                <c:pt idx="7">
                  <c:v>45210</c:v>
                </c:pt>
                <c:pt idx="8">
                  <c:v>45392</c:v>
                </c:pt>
                <c:pt idx="9">
                  <c:v>45462</c:v>
                </c:pt>
                <c:pt idx="10">
                  <c:v>45483</c:v>
                </c:pt>
                <c:pt idx="11">
                  <c:v>45518</c:v>
                </c:pt>
                <c:pt idx="12">
                  <c:v>45567</c:v>
                </c:pt>
                <c:pt idx="13">
                  <c:v>45609</c:v>
                </c:pt>
                <c:pt idx="14">
                  <c:v>45623</c:v>
                </c:pt>
                <c:pt idx="15">
                  <c:v>45637</c:v>
                </c:pt>
                <c:pt idx="16">
                  <c:v>45644</c:v>
                </c:pt>
                <c:pt idx="17">
                  <c:v>45665</c:v>
                </c:pt>
                <c:pt idx="18">
                  <c:v>45679</c:v>
                </c:pt>
                <c:pt idx="19">
                  <c:v>45693</c:v>
                </c:pt>
                <c:pt idx="20">
                  <c:v>45721</c:v>
                </c:pt>
                <c:pt idx="21">
                  <c:v>45735</c:v>
                </c:pt>
                <c:pt idx="22">
                  <c:v>45763</c:v>
                </c:pt>
                <c:pt idx="23">
                  <c:v>45777</c:v>
                </c:pt>
                <c:pt idx="24">
                  <c:v>45791</c:v>
                </c:pt>
                <c:pt idx="25">
                  <c:v>45805</c:v>
                </c:pt>
                <c:pt idx="26">
                  <c:v>45819</c:v>
                </c:pt>
                <c:pt idx="27">
                  <c:v>45833</c:v>
                </c:pt>
              </c:numCache>
            </c:numRef>
          </c:cat>
          <c:val>
            <c:numRef>
              <c:f>Pacson!$R$3:$R$30</c:f>
              <c:numCache>
                <c:formatCode>0.0</c:formatCode>
                <c:ptCount val="28"/>
                <c:pt idx="0">
                  <c:v>13.8</c:v>
                </c:pt>
                <c:pt idx="1">
                  <c:v>19.8</c:v>
                </c:pt>
                <c:pt idx="2">
                  <c:v>21.4</c:v>
                </c:pt>
                <c:pt idx="3">
                  <c:v>11.95</c:v>
                </c:pt>
                <c:pt idx="4">
                  <c:v>16</c:v>
                </c:pt>
                <c:pt idx="5">
                  <c:v>19.3</c:v>
                </c:pt>
                <c:pt idx="6">
                  <c:v>15.5</c:v>
                </c:pt>
                <c:pt idx="7">
                  <c:v>18.649999999999999</c:v>
                </c:pt>
                <c:pt idx="8">
                  <c:v>14.899999999999999</c:v>
                </c:pt>
                <c:pt idx="9">
                  <c:v>15.1</c:v>
                </c:pt>
                <c:pt idx="10">
                  <c:v>10</c:v>
                </c:pt>
                <c:pt idx="11">
                  <c:v>12.05</c:v>
                </c:pt>
                <c:pt idx="12">
                  <c:v>12.7</c:v>
                </c:pt>
                <c:pt idx="13">
                  <c:v>19.633333333333336</c:v>
                </c:pt>
                <c:pt idx="14">
                  <c:v>8.4666666666666668</c:v>
                </c:pt>
                <c:pt idx="15">
                  <c:v>10.5</c:v>
                </c:pt>
                <c:pt idx="16">
                  <c:v>12.266666666666666</c:v>
                </c:pt>
                <c:pt idx="17">
                  <c:v>8.0374999999999996</c:v>
                </c:pt>
                <c:pt idx="18">
                  <c:v>12.324999999999999</c:v>
                </c:pt>
                <c:pt idx="19">
                  <c:v>5.4692799999999995</c:v>
                </c:pt>
                <c:pt idx="20">
                  <c:v>10.5</c:v>
                </c:pt>
                <c:pt idx="21">
                  <c:v>9.1</c:v>
                </c:pt>
                <c:pt idx="22">
                  <c:v>11.3</c:v>
                </c:pt>
                <c:pt idx="23">
                  <c:v>13.700000000000001</c:v>
                </c:pt>
                <c:pt idx="24">
                  <c:v>15.9</c:v>
                </c:pt>
                <c:pt idx="25">
                  <c:v>15.2</c:v>
                </c:pt>
                <c:pt idx="26">
                  <c:v>13.2</c:v>
                </c:pt>
                <c:pt idx="27">
                  <c:v>14.1</c:v>
                </c:pt>
              </c:numCache>
            </c:numRef>
          </c:val>
          <c:smooth val="0"/>
          <c:extLst>
            <c:ext xmlns:c15="http://schemas.microsoft.com/office/drawing/2012/chart" uri="{02D57815-91ED-43cb-92C2-25804820EDAC}">
              <c15:datalabelsRange>
                <c15:f>Pacson!$S$3:$S$30</c15:f>
                <c15:dlblRangeCache>
                  <c:ptCount val="28"/>
                  <c:pt idx="0">
                    <c:v>1</c:v>
                  </c:pt>
                  <c:pt idx="1">
                    <c:v>1</c:v>
                  </c:pt>
                  <c:pt idx="2">
                    <c:v>2</c:v>
                  </c:pt>
                  <c:pt idx="3">
                    <c:v>2</c:v>
                  </c:pt>
                  <c:pt idx="4">
                    <c:v>3</c:v>
                  </c:pt>
                  <c:pt idx="5">
                    <c:v>3</c:v>
                  </c:pt>
                  <c:pt idx="6">
                    <c:v>2</c:v>
                  </c:pt>
                  <c:pt idx="7">
                    <c:v>2</c:v>
                  </c:pt>
                  <c:pt idx="8">
                    <c:v>4</c:v>
                  </c:pt>
                  <c:pt idx="9">
                    <c:v>1</c:v>
                  </c:pt>
                  <c:pt idx="10">
                    <c:v>2</c:v>
                  </c:pt>
                  <c:pt idx="11">
                    <c:v>2</c:v>
                  </c:pt>
                  <c:pt idx="12">
                    <c:v>4</c:v>
                  </c:pt>
                  <c:pt idx="13">
                    <c:v>6</c:v>
                  </c:pt>
                  <c:pt idx="14">
                    <c:v>4</c:v>
                  </c:pt>
                  <c:pt idx="15">
                    <c:v>5</c:v>
                  </c:pt>
                  <c:pt idx="16">
                    <c:v>3</c:v>
                  </c:pt>
                  <c:pt idx="17">
                    <c:v>8</c:v>
                  </c:pt>
                  <c:pt idx="18">
                    <c:v>4</c:v>
                  </c:pt>
                  <c:pt idx="19">
                    <c:v>10</c:v>
                  </c:pt>
                  <c:pt idx="20">
                    <c:v>3</c:v>
                  </c:pt>
                  <c:pt idx="21">
                    <c:v>1</c:v>
                  </c:pt>
                  <c:pt idx="22">
                    <c:v>2</c:v>
                  </c:pt>
                  <c:pt idx="23">
                    <c:v>2</c:v>
                  </c:pt>
                  <c:pt idx="24">
                    <c:v>1</c:v>
                  </c:pt>
                  <c:pt idx="25">
                    <c:v>1</c:v>
                  </c:pt>
                  <c:pt idx="26">
                    <c:v>1</c:v>
                  </c:pt>
                  <c:pt idx="27">
                    <c:v>2</c:v>
                  </c:pt>
                </c15:dlblRangeCache>
              </c15:datalabelsRange>
            </c:ext>
            <c:ext xmlns:c16="http://schemas.microsoft.com/office/drawing/2014/chart" uri="{C3380CC4-5D6E-409C-BE32-E72D297353CC}">
              <c16:uniqueId val="{00000000-3EDE-A044-A991-9A6BBFE486A1}"/>
            </c:ext>
          </c:extLst>
        </c:ser>
        <c:dLbls>
          <c:showLegendKey val="0"/>
          <c:showVal val="0"/>
          <c:showCatName val="0"/>
          <c:showSerName val="0"/>
          <c:showPercent val="0"/>
          <c:showBubbleSize val="0"/>
        </c:dLbls>
        <c:marker val="1"/>
        <c:smooth val="0"/>
        <c:axId val="675367103"/>
        <c:axId val="675968639"/>
      </c:lineChart>
      <c:dateAx>
        <c:axId val="675367103"/>
        <c:scaling>
          <c:orientation val="minMax"/>
          <c:max val="45839"/>
          <c:min val="44866"/>
        </c:scaling>
        <c:delete val="0"/>
        <c:axPos val="b"/>
        <c:majorGridlines>
          <c:spPr>
            <a:ln w="9525" cap="flat" cmpd="sng" algn="ctr">
              <a:solidFill>
                <a:schemeClr val="tx1">
                  <a:lumMod val="15000"/>
                  <a:lumOff val="85000"/>
                </a:schemeClr>
              </a:solidFill>
              <a:round/>
            </a:ln>
            <a:effectLst/>
          </c:spPr>
        </c:majorGridlines>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3360000" spcFirstLastPara="1" vertOverflow="ellipsis"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968639"/>
        <c:crosses val="autoZero"/>
        <c:auto val="1"/>
        <c:lblOffset val="100"/>
        <c:baseTimeUnit val="days"/>
      </c:dateAx>
      <c:valAx>
        <c:axId val="675968639"/>
        <c:scaling>
          <c:orientation val="minMax"/>
          <c:max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r>
                  <a:rPr lang="fr-F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Helvetica Neue Light" panose="02000403000000020004" pitchFamily="2" charset="0"/>
                <a:ea typeface="Helvetica Neue Light" panose="02000403000000020004" pitchFamily="2" charset="0"/>
                <a:cs typeface="+mn-cs"/>
              </a:defRPr>
            </a:pPr>
            <a:endParaRPr lang="fr-FR"/>
          </a:p>
        </c:txPr>
        <c:crossAx val="6753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0">
          <a:latin typeface="Helvetica Neue Light" panose="02000403000000020004" pitchFamily="2" charset="0"/>
          <a:ea typeface="Helvetica Neue Light" panose="02000403000000020004" pitchFamily="2" charset="0"/>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Pureté cocaïne HCL (n=388)</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Pureté cocaïne HCL (n=388)</a:t>
          </a:r>
        </a:p>
      </cx:txPr>
    </cx:title>
    <cx:plotArea>
      <cx:plotAreaRegion>
        <cx:series layoutId="boxWhisker" uniqueId="{8C4965BF-5DDC-3145-98AA-E41A2F5D5B03}">
          <cx:dataLabels pos="r">
            <cx:numFmt formatCode="# ##0.0" sourceLinked="0"/>
            <cx:txPr>
              <a:bodyPr spcFirstLastPara="1" vertOverflow="ellipsis" horzOverflow="overflow" wrap="square" lIns="0" tIns="0" rIns="0" bIns="0" anchor="ctr" anchorCtr="1"/>
              <a:lstStyle/>
              <a:p>
                <a:pPr algn="ctr" rtl="0">
                  <a:defRPr sz="1400">
                    <a:solidFill>
                      <a:sysClr val="windowText" lastClr="000000">
                        <a:lumMod val="65000"/>
                        <a:lumOff val="35000"/>
                      </a:sysClr>
                    </a:solidFill>
                  </a:defRPr>
                </a:pPr>
                <a:endParaRPr lang="fr-FR" sz="1400" b="0" i="0" u="none" strike="noStrike" baseline="0">
                  <a:solidFill>
                    <a:sysClr val="windowText" lastClr="000000">
                      <a:lumMod val="65000"/>
                      <a:lumOff val="35000"/>
                    </a:sysClr>
                  </a:solidFill>
                  <a:latin typeface="Calibri" panose="020F0502020204030204"/>
                </a:endParaRPr>
              </a:p>
            </cx:txPr>
            <cx:visibility seriesName="0" categoryName="0" value="1"/>
            <cx:dataLabel idx="50" pos="r">
              <cx:visibility seriesName="0" categoryName="0" value="1"/>
            </cx:dataLabel>
          </cx:dataLabels>
          <cx:dataId val="0"/>
          <cx:layoutPr>
            <cx:visibility meanLine="0" meanMarker="1" nonoutliers="0" outliers="1"/>
            <cx:statistics quartileMethod="exclusive"/>
          </cx:layoutPr>
        </cx:series>
      </cx:plotAreaRegion>
      <cx:axis id="0" hidden="1">
        <cx:catScaling gapWidth="1"/>
        <cx:tickLabels/>
      </cx:axis>
      <cx:axis id="1">
        <cx:valScaling max="100"/>
        <cx:title>
          <cx:tx>
            <cx:txData>
              <cx:v>%</cx:v>
            </cx:txData>
          </cx:tx>
          <cx:txPr>
            <a:bodyPr spcFirstLastPara="1" vertOverflow="ellipsis" horzOverflow="overflow" wrap="square" lIns="0" tIns="0" rIns="0" bIns="0" anchor="ctr" anchorCtr="1"/>
            <a:lstStyle/>
            <a:p>
              <a:pPr algn="ctr" rtl="0">
                <a:defRPr sz="1600"/>
              </a:pPr>
              <a:r>
                <a:rPr lang="fr-FR" sz="1600" b="0" i="0" u="none" strike="noStrike" baseline="0">
                  <a:solidFill>
                    <a:sysClr val="windowText" lastClr="000000">
                      <a:lumMod val="65000"/>
                      <a:lumOff val="35000"/>
                    </a:sysClr>
                  </a:solidFill>
                  <a:latin typeface="Calibri" panose="020F0502020204030204"/>
                </a:rPr>
                <a:t>%</a:t>
              </a:r>
            </a:p>
          </cx:txPr>
        </cx:title>
        <cx:majorGridlines/>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Pureté cocaïne base (n=156)</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Pureté cocaïne base (n=156)</a:t>
          </a:r>
        </a:p>
      </cx:txPr>
    </cx:title>
    <cx:plotArea>
      <cx:plotAreaRegion>
        <cx:series layoutId="boxWhisker" uniqueId="{DE570481-AEC7-A54B-AA36-15F354AC5ACF}">
          <cx:dataLabels>
            <cx:txPr>
              <a:bodyPr spcFirstLastPara="1" vertOverflow="ellipsis" horzOverflow="overflow" wrap="square" lIns="0" tIns="0" rIns="0" bIns="0" anchor="ctr" anchorCtr="1"/>
              <a:lstStyle/>
              <a:p>
                <a:pPr algn="ctr" rtl="0">
                  <a:defRPr sz="1100"/>
                </a:pPr>
                <a:endParaRPr lang="fr-FR" sz="1100" b="0" i="0" u="none" strike="noStrike" baseline="0">
                  <a:solidFill>
                    <a:sysClr val="windowText" lastClr="000000">
                      <a:lumMod val="65000"/>
                      <a:lumOff val="35000"/>
                    </a:sysClr>
                  </a:solidFill>
                  <a:latin typeface="Calibri" panose="020F0502020204030204"/>
                </a:endParaRPr>
              </a:p>
            </cx:txPr>
          </cx:dataLabels>
          <cx:dataId val="0"/>
          <cx:layoutPr>
            <cx:visibility meanLine="0" meanMarker="1" nonoutliers="0"/>
            <cx:statistics quartileMethod="exclusive"/>
          </cx:layoutPr>
        </cx:series>
      </cx:plotAreaRegion>
      <cx:axis id="0" hidden="1">
        <cx:catScaling gapWidth="1"/>
        <cx:tickLabels/>
      </cx:axis>
      <cx:axis id="1">
        <cx:valScaling min="50"/>
        <cx:title>
          <cx:tx>
            <cx:txData>
              <cx:v>%</cx:v>
            </cx:txData>
          </cx:tx>
          <cx:txPr>
            <a:bodyPr spcFirstLastPara="1" vertOverflow="ellipsis" horzOverflow="overflow" wrap="square" lIns="0" tIns="0" rIns="0" bIns="0" anchor="ctr" anchorCtr="1"/>
            <a:lstStyle/>
            <a:p>
              <a:pPr algn="ctr" rtl="0">
                <a:defRPr sz="1400"/>
              </a:pPr>
              <a:r>
                <a:rPr lang="fr-FR" sz="1400" b="0" i="0" u="none" strike="noStrike" baseline="0">
                  <a:solidFill>
                    <a:sysClr val="windowText" lastClr="000000">
                      <a:lumMod val="65000"/>
                      <a:lumOff val="35000"/>
                    </a:sysClr>
                  </a:solidFill>
                  <a:latin typeface="Calibri" panose="020F0502020204030204"/>
                </a:rPr>
                <a:t>%</a:t>
              </a:r>
            </a:p>
          </cx:txPr>
        </cx:title>
        <cx:majorGridlines/>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Text" lastClr="000000">
                  <a:lumMod val="65000"/>
                  <a:lumOff val="35000"/>
                </a:sysClr>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rtl="0">
              <a:defRPr sz="1600"/>
            </a:pPr>
            <a:r>
              <a:rPr lang="fr-FR" sz="1600" b="0" i="0" baseline="0">
                <a:effectLst/>
              </a:rPr>
              <a:t>Pureté héroïne base (n=112)</a:t>
            </a:r>
            <a:endParaRPr lang="fr-CH" sz="1600">
              <a:effectLst/>
            </a:endParaRPr>
          </a:p>
        </cx:rich>
      </cx:tx>
    </cx:title>
    <cx:plotArea>
      <cx:plotAreaRegion>
        <cx:series layoutId="boxWhisker" uniqueId="{19E02456-26F4-1943-89FA-0D9C9285B809}">
          <cx:dataLabels>
            <cx:txPr>
              <a:bodyPr spcFirstLastPara="1" vertOverflow="ellipsis" horzOverflow="overflow" wrap="square" lIns="0" tIns="0" rIns="0" bIns="0" anchor="ctr" anchorCtr="1"/>
              <a:lstStyle/>
              <a:p>
                <a:pPr algn="ctr" rtl="0">
                  <a:defRPr sz="1200"/>
                </a:pPr>
                <a:endParaRPr lang="fr-FR" sz="1200" b="0" i="0" u="none" strike="noStrike" baseline="0">
                  <a:solidFill>
                    <a:sysClr val="windowText" lastClr="000000">
                      <a:lumMod val="65000"/>
                      <a:lumOff val="35000"/>
                    </a:sysClr>
                  </a:solidFill>
                  <a:latin typeface="Calibri" panose="020F0502020204030204"/>
                </a:endParaRPr>
              </a:p>
            </cx:txPr>
          </cx:dataLabels>
          <cx:dataId val="0"/>
          <cx:layoutPr>
            <cx:visibility meanLine="0" meanMarker="1" nonoutliers="0" outliers="1"/>
            <cx:statistics quartileMethod="exclusive"/>
          </cx:layoutPr>
        </cx:series>
      </cx:plotAreaRegion>
      <cx:axis id="0" hidden="1">
        <cx:catScaling gapWidth="1"/>
        <cx:tickLabels/>
      </cx:axis>
      <cx:axis id="1">
        <cx:valScaling/>
        <cx:title>
          <cx:tx>
            <cx:rich>
              <a:bodyPr spcFirstLastPara="1" vertOverflow="ellipsis" horzOverflow="overflow" wrap="square" lIns="0" tIns="0" rIns="0" bIns="0" anchor="ctr" anchorCtr="1"/>
              <a:lstStyle/>
              <a:p>
                <a:pPr algn="ctr" rtl="0">
                  <a:defRPr/>
                </a:pPr>
                <a:r>
                  <a:rPr lang="fr-FR" sz="1600" b="0" i="0" u="none" strike="noStrike" baseline="0">
                    <a:solidFill>
                      <a:sysClr val="windowText" lastClr="000000">
                        <a:lumMod val="65000"/>
                        <a:lumOff val="35000"/>
                      </a:sysClr>
                    </a:solidFill>
                    <a:latin typeface="Calibri" panose="020F0502020204030204"/>
                  </a:rPr>
                  <a:t>%</a:t>
                </a:r>
                <a:endParaRPr lang="fr-FR" sz="900" b="0" i="0" u="none" strike="noStrike" baseline="0">
                  <a:solidFill>
                    <a:sysClr val="windowText" lastClr="000000">
                      <a:lumMod val="65000"/>
                      <a:lumOff val="35000"/>
                    </a:sysClr>
                  </a:solidFill>
                  <a:latin typeface="Calibri" panose="020F0502020204030204"/>
                </a:endParaRPr>
              </a:p>
            </cx:rich>
          </cx:tx>
        </cx:title>
        <cx:majorGridlines/>
        <cx:tickLabels/>
        <cx:txPr>
          <a:bodyPr spcFirstLastPara="1" vertOverflow="ellipsis" horzOverflow="overflow" wrap="square" lIns="0" tIns="0" rIns="0" bIns="0" anchor="ctr" anchorCtr="1"/>
          <a:lstStyle/>
          <a:p>
            <a:pPr algn="ctr" rtl="0">
              <a:defRPr sz="1400"/>
            </a:pPr>
            <a:endParaRPr lang="fr-FR" sz="1400" b="0"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microsoft.com/office/2014/relationships/chartEx" Target="../charts/chartEx3.xml"/><Relationship Id="rId5" Type="http://schemas.openxmlformats.org/officeDocument/2006/relationships/chart" Target="../charts/chart14.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12</xdr:col>
      <xdr:colOff>623787</xdr:colOff>
      <xdr:row>76</xdr:row>
      <xdr:rowOff>7654</xdr:rowOff>
    </xdr:from>
    <xdr:to>
      <xdr:col>19</xdr:col>
      <xdr:colOff>466307</xdr:colOff>
      <xdr:row>91</xdr:row>
      <xdr:rowOff>107568</xdr:rowOff>
    </xdr:to>
    <xdr:graphicFrame macro="">
      <xdr:nvGraphicFramePr>
        <xdr:cNvPr id="2" name="Graphique 1">
          <a:extLst>
            <a:ext uri="{FF2B5EF4-FFF2-40B4-BE49-F238E27FC236}">
              <a16:creationId xmlns:a16="http://schemas.microsoft.com/office/drawing/2014/main" id="{AE50910F-88B9-A70D-84F1-74E15A642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31133</xdr:colOff>
      <xdr:row>80</xdr:row>
      <xdr:rowOff>53873</xdr:rowOff>
    </xdr:from>
    <xdr:to>
      <xdr:col>26</xdr:col>
      <xdr:colOff>949249</xdr:colOff>
      <xdr:row>90</xdr:row>
      <xdr:rowOff>9310</xdr:rowOff>
    </xdr:to>
    <xdr:graphicFrame macro="">
      <xdr:nvGraphicFramePr>
        <xdr:cNvPr id="3" name="Graphique 2">
          <a:extLst>
            <a:ext uri="{FF2B5EF4-FFF2-40B4-BE49-F238E27FC236}">
              <a16:creationId xmlns:a16="http://schemas.microsoft.com/office/drawing/2014/main" id="{546DEAB9-AEAA-6820-C0AC-41BE0090B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660400</xdr:colOff>
      <xdr:row>1</xdr:row>
      <xdr:rowOff>25400</xdr:rowOff>
    </xdr:from>
    <xdr:to>
      <xdr:col>10</xdr:col>
      <xdr:colOff>457200</xdr:colOff>
      <xdr:row>24</xdr:row>
      <xdr:rowOff>152400</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E178A760-D7EA-DDFC-A22F-6EE18752FB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38900" y="228600"/>
              <a:ext cx="2921000" cy="48641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14</xdr:col>
      <xdr:colOff>0</xdr:colOff>
      <xdr:row>2</xdr:row>
      <xdr:rowOff>0</xdr:rowOff>
    </xdr:from>
    <xdr:to>
      <xdr:col>20</xdr:col>
      <xdr:colOff>609600</xdr:colOff>
      <xdr:row>19</xdr:row>
      <xdr:rowOff>165100</xdr:rowOff>
    </xdr:to>
    <xdr:graphicFrame macro="">
      <xdr:nvGraphicFramePr>
        <xdr:cNvPr id="2" name="Graphique 1">
          <a:extLst>
            <a:ext uri="{FF2B5EF4-FFF2-40B4-BE49-F238E27FC236}">
              <a16:creationId xmlns:a16="http://schemas.microsoft.com/office/drawing/2014/main" id="{C3CAC9AA-9416-6C49-BC54-15CF99997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824523</xdr:colOff>
      <xdr:row>31</xdr:row>
      <xdr:rowOff>203200</xdr:rowOff>
    </xdr:from>
    <xdr:to>
      <xdr:col>13</xdr:col>
      <xdr:colOff>199292</xdr:colOff>
      <xdr:row>49</xdr:row>
      <xdr:rowOff>182880</xdr:rowOff>
    </xdr:to>
    <xdr:graphicFrame macro="">
      <xdr:nvGraphicFramePr>
        <xdr:cNvPr id="4" name="Graphique 3">
          <a:extLst>
            <a:ext uri="{FF2B5EF4-FFF2-40B4-BE49-F238E27FC236}">
              <a16:creationId xmlns:a16="http://schemas.microsoft.com/office/drawing/2014/main" id="{219D889F-0B57-EB42-9582-AC39F64DC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821120</xdr:colOff>
      <xdr:row>1</xdr:row>
      <xdr:rowOff>0</xdr:rowOff>
    </xdr:from>
    <xdr:to>
      <xdr:col>38</xdr:col>
      <xdr:colOff>25400</xdr:colOff>
      <xdr:row>16</xdr:row>
      <xdr:rowOff>132080</xdr:rowOff>
    </xdr:to>
    <xdr:graphicFrame macro="">
      <xdr:nvGraphicFramePr>
        <xdr:cNvPr id="5" name="Graphique 4">
          <a:extLst>
            <a:ext uri="{FF2B5EF4-FFF2-40B4-BE49-F238E27FC236}">
              <a16:creationId xmlns:a16="http://schemas.microsoft.com/office/drawing/2014/main" id="{00611A2E-A53E-0B4C-96FA-9D9007E8D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22929</xdr:colOff>
      <xdr:row>21</xdr:row>
      <xdr:rowOff>2453</xdr:rowOff>
    </xdr:from>
    <xdr:to>
      <xdr:col>20</xdr:col>
      <xdr:colOff>665976</xdr:colOff>
      <xdr:row>38</xdr:row>
      <xdr:rowOff>15488</xdr:rowOff>
    </xdr:to>
    <xdr:graphicFrame macro="">
      <xdr:nvGraphicFramePr>
        <xdr:cNvPr id="7" name="Graphique 6">
          <a:extLst>
            <a:ext uri="{FF2B5EF4-FFF2-40B4-BE49-F238E27FC236}">
              <a16:creationId xmlns:a16="http://schemas.microsoft.com/office/drawing/2014/main" id="{27461645-61CD-B263-DA95-CCAC0CECF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800100</xdr:colOff>
      <xdr:row>2</xdr:row>
      <xdr:rowOff>127000</xdr:rowOff>
    </xdr:from>
    <xdr:to>
      <xdr:col>9</xdr:col>
      <xdr:colOff>314960</xdr:colOff>
      <xdr:row>22</xdr:row>
      <xdr:rowOff>40640</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833C7560-5DEC-E97A-D836-097C6B1799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7600" y="533400"/>
              <a:ext cx="3401060" cy="397764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13</xdr:col>
      <xdr:colOff>342900</xdr:colOff>
      <xdr:row>2</xdr:row>
      <xdr:rowOff>177800</xdr:rowOff>
    </xdr:from>
    <xdr:to>
      <xdr:col>20</xdr:col>
      <xdr:colOff>127000</xdr:colOff>
      <xdr:row>20</xdr:row>
      <xdr:rowOff>139700</xdr:rowOff>
    </xdr:to>
    <xdr:graphicFrame macro="">
      <xdr:nvGraphicFramePr>
        <xdr:cNvPr id="5" name="Graphique 4">
          <a:extLst>
            <a:ext uri="{FF2B5EF4-FFF2-40B4-BE49-F238E27FC236}">
              <a16:creationId xmlns:a16="http://schemas.microsoft.com/office/drawing/2014/main" id="{144BCF99-CFD6-FDD0-4C1D-C03095B22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6038</xdr:colOff>
      <xdr:row>28</xdr:row>
      <xdr:rowOff>5204</xdr:rowOff>
    </xdr:from>
    <xdr:to>
      <xdr:col>13</xdr:col>
      <xdr:colOff>16656</xdr:colOff>
      <xdr:row>44</xdr:row>
      <xdr:rowOff>195704</xdr:rowOff>
    </xdr:to>
    <xdr:graphicFrame macro="">
      <xdr:nvGraphicFramePr>
        <xdr:cNvPr id="2" name="Graphique 1">
          <a:extLst>
            <a:ext uri="{FF2B5EF4-FFF2-40B4-BE49-F238E27FC236}">
              <a16:creationId xmlns:a16="http://schemas.microsoft.com/office/drawing/2014/main" id="{7B8393A7-F491-3D4C-93A1-E6C6A2F99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0</xdr:colOff>
      <xdr:row>1</xdr:row>
      <xdr:rowOff>0</xdr:rowOff>
    </xdr:from>
    <xdr:to>
      <xdr:col>37</xdr:col>
      <xdr:colOff>487426</xdr:colOff>
      <xdr:row>15</xdr:row>
      <xdr:rowOff>148016</xdr:rowOff>
    </xdr:to>
    <xdr:graphicFrame macro="">
      <xdr:nvGraphicFramePr>
        <xdr:cNvPr id="4" name="Graphique 3">
          <a:extLst>
            <a:ext uri="{FF2B5EF4-FFF2-40B4-BE49-F238E27FC236}">
              <a16:creationId xmlns:a16="http://schemas.microsoft.com/office/drawing/2014/main" id="{F2EA1438-BF6F-6446-AA73-8F4381891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333587</xdr:colOff>
      <xdr:row>22</xdr:row>
      <xdr:rowOff>55880</xdr:rowOff>
    </xdr:from>
    <xdr:to>
      <xdr:col>20</xdr:col>
      <xdr:colOff>153674</xdr:colOff>
      <xdr:row>39</xdr:row>
      <xdr:rowOff>99395</xdr:rowOff>
    </xdr:to>
    <xdr:graphicFrame macro="">
      <xdr:nvGraphicFramePr>
        <xdr:cNvPr id="6" name="Graphique 5">
          <a:extLst>
            <a:ext uri="{FF2B5EF4-FFF2-40B4-BE49-F238E27FC236}">
              <a16:creationId xmlns:a16="http://schemas.microsoft.com/office/drawing/2014/main" id="{51EFF54F-6678-084C-8D20-6336B4C74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662608</xdr:colOff>
      <xdr:row>1</xdr:row>
      <xdr:rowOff>139700</xdr:rowOff>
    </xdr:from>
    <xdr:to>
      <xdr:col>15</xdr:col>
      <xdr:colOff>812800</xdr:colOff>
      <xdr:row>19</xdr:row>
      <xdr:rowOff>27609</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3831377F-418E-C919-5F6C-E1E1C645EB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965608" y="342900"/>
              <a:ext cx="2626692" cy="3545509"/>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9</xdr:col>
      <xdr:colOff>228600</xdr:colOff>
      <xdr:row>19</xdr:row>
      <xdr:rowOff>127000</xdr:rowOff>
    </xdr:from>
    <xdr:to>
      <xdr:col>16</xdr:col>
      <xdr:colOff>381000</xdr:colOff>
      <xdr:row>37</xdr:row>
      <xdr:rowOff>144455</xdr:rowOff>
    </xdr:to>
    <xdr:graphicFrame macro="">
      <xdr:nvGraphicFramePr>
        <xdr:cNvPr id="3" name="Graphique 2">
          <a:extLst>
            <a:ext uri="{FF2B5EF4-FFF2-40B4-BE49-F238E27FC236}">
              <a16:creationId xmlns:a16="http://schemas.microsoft.com/office/drawing/2014/main" id="{FAE77897-3802-A44E-355A-0508B5C3F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211298</xdr:colOff>
      <xdr:row>0</xdr:row>
      <xdr:rowOff>193261</xdr:rowOff>
    </xdr:from>
    <xdr:to>
      <xdr:col>12</xdr:col>
      <xdr:colOff>458303</xdr:colOff>
      <xdr:row>18</xdr:row>
      <xdr:rowOff>180561</xdr:rowOff>
    </xdr:to>
    <xdr:graphicFrame macro="">
      <xdr:nvGraphicFramePr>
        <xdr:cNvPr id="4" name="Graphique 3">
          <a:extLst>
            <a:ext uri="{FF2B5EF4-FFF2-40B4-BE49-F238E27FC236}">
              <a16:creationId xmlns:a16="http://schemas.microsoft.com/office/drawing/2014/main" id="{7E7F2C62-8C0B-D64B-A3DD-3C089E88E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1</xdr:row>
      <xdr:rowOff>0</xdr:rowOff>
    </xdr:from>
    <xdr:to>
      <xdr:col>33</xdr:col>
      <xdr:colOff>487426</xdr:colOff>
      <xdr:row>15</xdr:row>
      <xdr:rowOff>148016</xdr:rowOff>
    </xdr:to>
    <xdr:graphicFrame macro="">
      <xdr:nvGraphicFramePr>
        <xdr:cNvPr id="5" name="Graphique 4">
          <a:extLst>
            <a:ext uri="{FF2B5EF4-FFF2-40B4-BE49-F238E27FC236}">
              <a16:creationId xmlns:a16="http://schemas.microsoft.com/office/drawing/2014/main" id="{9F019484-97CD-E341-8DC4-2A04A9AF6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239489</xdr:colOff>
      <xdr:row>38</xdr:row>
      <xdr:rowOff>5907</xdr:rowOff>
    </xdr:from>
    <xdr:to>
      <xdr:col>16</xdr:col>
      <xdr:colOff>22471</xdr:colOff>
      <xdr:row>55</xdr:row>
      <xdr:rowOff>34553</xdr:rowOff>
    </xdr:to>
    <xdr:graphicFrame macro="">
      <xdr:nvGraphicFramePr>
        <xdr:cNvPr id="6" name="Graphique 5">
          <a:extLst>
            <a:ext uri="{FF2B5EF4-FFF2-40B4-BE49-F238E27FC236}">
              <a16:creationId xmlns:a16="http://schemas.microsoft.com/office/drawing/2014/main" id="{45297B49-AB6C-F143-BE9E-48CB07EBA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10763</xdr:colOff>
      <xdr:row>74</xdr:row>
      <xdr:rowOff>102676</xdr:rowOff>
    </xdr:from>
    <xdr:to>
      <xdr:col>11</xdr:col>
      <xdr:colOff>696563</xdr:colOff>
      <xdr:row>89</xdr:row>
      <xdr:rowOff>98802</xdr:rowOff>
    </xdr:to>
    <xdr:graphicFrame macro="">
      <xdr:nvGraphicFramePr>
        <xdr:cNvPr id="3" name="Graphique 2">
          <a:extLst>
            <a:ext uri="{FF2B5EF4-FFF2-40B4-BE49-F238E27FC236}">
              <a16:creationId xmlns:a16="http://schemas.microsoft.com/office/drawing/2014/main" id="{1FFA1753-8F71-7D15-FEA7-431DA0595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852192</xdr:colOff>
      <xdr:row>75</xdr:row>
      <xdr:rowOff>27338</xdr:rowOff>
    </xdr:from>
    <xdr:to>
      <xdr:col>14</xdr:col>
      <xdr:colOff>800100</xdr:colOff>
      <xdr:row>90</xdr:row>
      <xdr:rowOff>1</xdr:rowOff>
    </xdr:to>
    <xdr:graphicFrame macro="">
      <xdr:nvGraphicFramePr>
        <xdr:cNvPr id="4" name="Graphique 3">
          <a:extLst>
            <a:ext uri="{FF2B5EF4-FFF2-40B4-BE49-F238E27FC236}">
              <a16:creationId xmlns:a16="http://schemas.microsoft.com/office/drawing/2014/main" id="{6D9EA7E9-3ADB-CFE3-2544-0EACC9C05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107627</xdr:colOff>
      <xdr:row>90</xdr:row>
      <xdr:rowOff>23463</xdr:rowOff>
    </xdr:from>
    <xdr:to>
      <xdr:col>14</xdr:col>
      <xdr:colOff>145727</xdr:colOff>
      <xdr:row>103</xdr:row>
      <xdr:rowOff>34225</xdr:rowOff>
    </xdr:to>
    <xdr:graphicFrame macro="">
      <xdr:nvGraphicFramePr>
        <xdr:cNvPr id="5" name="Graphique 4">
          <a:extLst>
            <a:ext uri="{FF2B5EF4-FFF2-40B4-BE49-F238E27FC236}">
              <a16:creationId xmlns:a16="http://schemas.microsoft.com/office/drawing/2014/main" id="{D1275B6B-CFA3-C844-97E2-7F417E1B5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22</xdr:col>
      <xdr:colOff>0</xdr:colOff>
      <xdr:row>2</xdr:row>
      <xdr:rowOff>0</xdr:rowOff>
    </xdr:from>
    <xdr:to>
      <xdr:col>27</xdr:col>
      <xdr:colOff>487426</xdr:colOff>
      <xdr:row>16</xdr:row>
      <xdr:rowOff>148016</xdr:rowOff>
    </xdr:to>
    <xdr:graphicFrame macro="">
      <xdr:nvGraphicFramePr>
        <xdr:cNvPr id="2" name="Graphique 1">
          <a:extLst>
            <a:ext uri="{FF2B5EF4-FFF2-40B4-BE49-F238E27FC236}">
              <a16:creationId xmlns:a16="http://schemas.microsoft.com/office/drawing/2014/main" id="{BA0B81B8-F82C-EE42-8C49-E8AA83E05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20</xdr:col>
      <xdr:colOff>0</xdr:colOff>
      <xdr:row>2</xdr:row>
      <xdr:rowOff>0</xdr:rowOff>
    </xdr:from>
    <xdr:to>
      <xdr:col>26</xdr:col>
      <xdr:colOff>618819</xdr:colOff>
      <xdr:row>18</xdr:row>
      <xdr:rowOff>194041</xdr:rowOff>
    </xdr:to>
    <xdr:graphicFrame macro="">
      <xdr:nvGraphicFramePr>
        <xdr:cNvPr id="2" name="Graphique 1">
          <a:extLst>
            <a:ext uri="{FF2B5EF4-FFF2-40B4-BE49-F238E27FC236}">
              <a16:creationId xmlns:a16="http://schemas.microsoft.com/office/drawing/2014/main" id="{A1306611-A68E-D74E-AA69-77B0BDFB6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747B-F0BA-8447-90FD-FDBF29931ACE}">
  <sheetPr codeName="Feuil1"/>
  <dimension ref="A1:AK712"/>
  <sheetViews>
    <sheetView topLeftCell="A3" zoomScale="117" zoomScaleNormal="139" workbookViewId="0">
      <pane ySplit="1" topLeftCell="A4" activePane="bottomLeft" state="frozen"/>
      <selection activeCell="A3" sqref="A3"/>
      <selection pane="bottomLeft" activeCell="A3" sqref="A1:XFD1048576"/>
    </sheetView>
  </sheetViews>
  <sheetFormatPr baseColWidth="10" defaultRowHeight="16" x14ac:dyDescent="0.2"/>
  <cols>
    <col min="2" max="2" width="11.83203125" bestFit="1" customWidth="1"/>
    <col min="3" max="3" width="11.83203125" customWidth="1"/>
    <col min="4" max="4" width="11.83203125" bestFit="1" customWidth="1"/>
    <col min="5" max="5" width="10.1640625" bestFit="1" customWidth="1"/>
    <col min="6" max="6" width="13.33203125" customWidth="1"/>
    <col min="8" max="8" width="18.83203125" customWidth="1"/>
    <col min="9" max="9" width="9.1640625" customWidth="1"/>
    <col min="10" max="10" width="70.33203125" bestFit="1" customWidth="1"/>
    <col min="13" max="13" width="10.33203125" customWidth="1"/>
    <col min="14" max="15" width="11.1640625" customWidth="1"/>
    <col min="16" max="16" width="11.5" customWidth="1"/>
    <col min="17" max="17" width="11" customWidth="1"/>
    <col min="18" max="18" width="10.6640625" customWidth="1"/>
    <col min="19" max="19" width="9.83203125" customWidth="1"/>
    <col min="21" max="21" width="9.33203125" customWidth="1"/>
    <col min="22" max="23" width="9" customWidth="1"/>
    <col min="24" max="24" width="9.1640625" customWidth="1"/>
    <col min="26" max="26" width="10.1640625" customWidth="1"/>
    <col min="27" max="27" width="13" customWidth="1"/>
    <col min="28" max="28" width="12.83203125" customWidth="1"/>
    <col min="29" max="29" width="12.1640625" customWidth="1"/>
    <col min="30" max="30" width="13.1640625" customWidth="1"/>
    <col min="31" max="31" width="9.33203125" customWidth="1"/>
    <col min="32" max="32" width="8.5" customWidth="1"/>
  </cols>
  <sheetData>
    <row r="1" spans="1:32" x14ac:dyDescent="0.2">
      <c r="B1" t="s">
        <v>42</v>
      </c>
    </row>
    <row r="2" spans="1:32" ht="17" thickBot="1" x14ac:dyDescent="0.25"/>
    <row r="3" spans="1:32" ht="37.25" customHeight="1" thickBot="1" x14ac:dyDescent="0.25">
      <c r="A3" t="s">
        <v>264</v>
      </c>
      <c r="B3" s="2" t="s">
        <v>0</v>
      </c>
      <c r="C3" s="3" t="s">
        <v>4</v>
      </c>
      <c r="D3" s="3" t="s">
        <v>1</v>
      </c>
      <c r="E3" s="3" t="s">
        <v>2</v>
      </c>
      <c r="F3" s="3" t="s">
        <v>3</v>
      </c>
      <c r="G3" s="3" t="s">
        <v>13</v>
      </c>
      <c r="H3" s="3" t="s">
        <v>14</v>
      </c>
      <c r="I3" s="3" t="s">
        <v>90</v>
      </c>
      <c r="J3" s="4" t="s">
        <v>16</v>
      </c>
      <c r="L3" s="27" t="s">
        <v>4</v>
      </c>
      <c r="M3" s="28" t="s">
        <v>246</v>
      </c>
      <c r="N3" s="28" t="s">
        <v>253</v>
      </c>
      <c r="O3" s="28" t="s">
        <v>89</v>
      </c>
      <c r="P3" s="28" t="s">
        <v>238</v>
      </c>
      <c r="Q3" s="28" t="s">
        <v>249</v>
      </c>
      <c r="R3" s="28" t="s">
        <v>247</v>
      </c>
      <c r="S3" s="28" t="s">
        <v>248</v>
      </c>
      <c r="T3" s="27" t="s">
        <v>85</v>
      </c>
      <c r="U3" s="27" t="s">
        <v>86</v>
      </c>
      <c r="V3" s="27" t="s">
        <v>87</v>
      </c>
      <c r="W3" s="27" t="s">
        <v>88</v>
      </c>
      <c r="X3" s="27" t="s">
        <v>43</v>
      </c>
      <c r="Z3" s="15" t="s">
        <v>4</v>
      </c>
      <c r="AA3" s="15" t="s">
        <v>25</v>
      </c>
      <c r="AB3" s="15" t="s">
        <v>22</v>
      </c>
      <c r="AC3" s="15" t="s">
        <v>23</v>
      </c>
      <c r="AD3" s="15" t="s">
        <v>24</v>
      </c>
      <c r="AE3" s="22" t="s">
        <v>52</v>
      </c>
      <c r="AF3" t="s">
        <v>40</v>
      </c>
    </row>
    <row r="4" spans="1:32" x14ac:dyDescent="0.2">
      <c r="B4" s="5">
        <v>1</v>
      </c>
      <c r="C4" s="6">
        <v>44872</v>
      </c>
      <c r="D4" s="7" t="s">
        <v>5</v>
      </c>
      <c r="E4" s="7"/>
      <c r="F4" s="7">
        <v>82.3</v>
      </c>
      <c r="G4" s="7"/>
      <c r="H4" s="7"/>
      <c r="I4" s="7"/>
      <c r="J4" s="8"/>
      <c r="L4" s="29">
        <v>44872</v>
      </c>
      <c r="M4" s="26">
        <v>4</v>
      </c>
      <c r="N4" s="26">
        <v>0</v>
      </c>
      <c r="O4" s="26">
        <v>0</v>
      </c>
      <c r="P4" s="26">
        <f>SUM(M4:N4)</f>
        <v>4</v>
      </c>
      <c r="Q4" s="26">
        <v>4</v>
      </c>
      <c r="R4" s="26">
        <v>4</v>
      </c>
      <c r="S4" s="26">
        <v>0</v>
      </c>
      <c r="T4" s="26">
        <v>4</v>
      </c>
      <c r="U4" s="26">
        <v>1</v>
      </c>
      <c r="V4" s="26">
        <v>1</v>
      </c>
      <c r="W4" s="26">
        <v>0</v>
      </c>
      <c r="X4" s="26">
        <f>SUM(T4:W4)</f>
        <v>6</v>
      </c>
      <c r="Z4" s="16">
        <v>44872</v>
      </c>
      <c r="AA4" s="17">
        <v>6</v>
      </c>
      <c r="AB4" s="17">
        <v>1</v>
      </c>
      <c r="AC4" s="17">
        <v>4</v>
      </c>
      <c r="AD4" s="17">
        <v>1</v>
      </c>
      <c r="AE4" s="15">
        <v>0</v>
      </c>
      <c r="AF4" s="19">
        <f t="shared" ref="AF4:AF13" si="0">SUM(AB4:AD4)</f>
        <v>6</v>
      </c>
    </row>
    <row r="5" spans="1:32" x14ac:dyDescent="0.2">
      <c r="B5" s="9">
        <v>2</v>
      </c>
      <c r="C5" s="1">
        <v>44872</v>
      </c>
      <c r="D5" t="s">
        <v>6</v>
      </c>
      <c r="E5">
        <v>15.2</v>
      </c>
      <c r="F5">
        <v>13.8</v>
      </c>
      <c r="H5" t="s">
        <v>38</v>
      </c>
      <c r="J5" s="10"/>
      <c r="L5" s="29">
        <v>44909</v>
      </c>
      <c r="M5" s="26">
        <v>4</v>
      </c>
      <c r="N5" s="26">
        <v>0</v>
      </c>
      <c r="O5" s="26">
        <v>0</v>
      </c>
      <c r="P5" s="26">
        <f t="shared" ref="P5:P20" si="1">SUM(M5:N5)</f>
        <v>4</v>
      </c>
      <c r="Q5" s="26">
        <v>4</v>
      </c>
      <c r="R5" s="26">
        <v>1</v>
      </c>
      <c r="S5" s="26">
        <v>3</v>
      </c>
      <c r="T5" s="26">
        <v>4</v>
      </c>
      <c r="U5" s="26">
        <v>1</v>
      </c>
      <c r="V5" s="26">
        <v>1</v>
      </c>
      <c r="W5" s="26">
        <v>0</v>
      </c>
      <c r="X5" s="26">
        <f t="shared" ref="X5:X21" si="2">SUM(T5:W5)</f>
        <v>6</v>
      </c>
      <c r="Z5" s="16">
        <v>44909</v>
      </c>
      <c r="AA5" s="17">
        <v>6</v>
      </c>
      <c r="AB5" s="17">
        <v>1</v>
      </c>
      <c r="AC5" s="17">
        <v>4</v>
      </c>
      <c r="AD5" s="17">
        <v>1</v>
      </c>
      <c r="AE5" s="15">
        <v>0</v>
      </c>
      <c r="AF5" s="19">
        <f t="shared" si="0"/>
        <v>6</v>
      </c>
    </row>
    <row r="6" spans="1:32" x14ac:dyDescent="0.2">
      <c r="B6" s="9">
        <v>3</v>
      </c>
      <c r="C6" s="1">
        <v>44872</v>
      </c>
      <c r="D6" t="s">
        <v>7</v>
      </c>
      <c r="E6">
        <v>58.3</v>
      </c>
      <c r="F6">
        <v>52</v>
      </c>
      <c r="H6" t="s">
        <v>37</v>
      </c>
      <c r="J6" s="10"/>
      <c r="L6" s="29">
        <v>44916</v>
      </c>
      <c r="M6" s="26">
        <v>4</v>
      </c>
      <c r="N6" s="26">
        <v>2</v>
      </c>
      <c r="O6" s="26">
        <v>0</v>
      </c>
      <c r="P6" s="26">
        <f t="shared" si="1"/>
        <v>6</v>
      </c>
      <c r="Q6" s="26">
        <v>6</v>
      </c>
      <c r="R6" s="26">
        <v>6</v>
      </c>
      <c r="S6" s="26">
        <v>0</v>
      </c>
      <c r="T6" s="26">
        <v>5</v>
      </c>
      <c r="U6" s="26">
        <v>2</v>
      </c>
      <c r="V6" s="26">
        <v>2</v>
      </c>
      <c r="W6" s="26">
        <v>0</v>
      </c>
      <c r="X6" s="26">
        <f t="shared" si="2"/>
        <v>9</v>
      </c>
      <c r="Z6" s="16">
        <v>44916</v>
      </c>
      <c r="AA6" s="17">
        <v>9</v>
      </c>
      <c r="AB6" s="17">
        <v>2</v>
      </c>
      <c r="AC6" s="17">
        <v>5</v>
      </c>
      <c r="AD6" s="17">
        <v>2</v>
      </c>
      <c r="AE6" s="15">
        <v>0</v>
      </c>
      <c r="AF6" s="19">
        <f t="shared" si="0"/>
        <v>9</v>
      </c>
    </row>
    <row r="7" spans="1:32" x14ac:dyDescent="0.2">
      <c r="B7" s="9">
        <v>4</v>
      </c>
      <c r="C7" s="1">
        <v>44872</v>
      </c>
      <c r="D7" t="s">
        <v>7</v>
      </c>
      <c r="E7">
        <v>69.7</v>
      </c>
      <c r="F7">
        <v>62.2</v>
      </c>
      <c r="J7" s="10"/>
      <c r="L7" s="29">
        <v>44937</v>
      </c>
      <c r="M7" s="26">
        <v>5</v>
      </c>
      <c r="N7" s="26">
        <v>3</v>
      </c>
      <c r="O7" s="26">
        <v>0</v>
      </c>
      <c r="P7" s="26">
        <f t="shared" si="1"/>
        <v>8</v>
      </c>
      <c r="Q7" s="26">
        <v>8</v>
      </c>
      <c r="R7" s="26">
        <v>7</v>
      </c>
      <c r="S7" s="26">
        <v>1</v>
      </c>
      <c r="T7" s="26">
        <v>7</v>
      </c>
      <c r="U7" s="26">
        <v>1</v>
      </c>
      <c r="V7" s="26">
        <v>2</v>
      </c>
      <c r="W7" s="26">
        <v>0</v>
      </c>
      <c r="X7" s="26">
        <f t="shared" si="2"/>
        <v>10</v>
      </c>
      <c r="Z7" s="16">
        <v>44937</v>
      </c>
      <c r="AA7" s="17">
        <v>10</v>
      </c>
      <c r="AB7" s="17">
        <v>2</v>
      </c>
      <c r="AC7" s="17">
        <v>7</v>
      </c>
      <c r="AD7" s="17">
        <v>1</v>
      </c>
      <c r="AE7" s="15">
        <v>0</v>
      </c>
      <c r="AF7" s="19">
        <f t="shared" si="0"/>
        <v>10</v>
      </c>
    </row>
    <row r="8" spans="1:32" x14ac:dyDescent="0.2">
      <c r="B8" s="9">
        <v>5</v>
      </c>
      <c r="C8" s="1">
        <v>44872</v>
      </c>
      <c r="D8" t="s">
        <v>7</v>
      </c>
      <c r="E8">
        <v>77.099999999999994</v>
      </c>
      <c r="F8">
        <v>68.8</v>
      </c>
      <c r="J8" s="10"/>
      <c r="L8" s="29">
        <v>44944</v>
      </c>
      <c r="M8" s="26">
        <v>5</v>
      </c>
      <c r="N8" s="26">
        <v>1</v>
      </c>
      <c r="O8" s="26">
        <v>0</v>
      </c>
      <c r="P8" s="26">
        <f t="shared" si="1"/>
        <v>6</v>
      </c>
      <c r="Q8" s="26">
        <v>6</v>
      </c>
      <c r="R8" s="26">
        <v>6</v>
      </c>
      <c r="S8" s="26">
        <v>0</v>
      </c>
      <c r="T8" s="26">
        <v>3</v>
      </c>
      <c r="U8" s="26">
        <v>0</v>
      </c>
      <c r="V8" s="26">
        <v>3</v>
      </c>
      <c r="W8" s="26">
        <v>0</v>
      </c>
      <c r="X8" s="26">
        <f t="shared" si="2"/>
        <v>6</v>
      </c>
      <c r="Z8" s="16">
        <v>44944</v>
      </c>
      <c r="AA8" s="17">
        <v>6</v>
      </c>
      <c r="AB8" s="17">
        <v>3</v>
      </c>
      <c r="AC8" s="17">
        <v>3</v>
      </c>
      <c r="AD8" s="17">
        <v>0</v>
      </c>
      <c r="AE8" s="15">
        <v>0</v>
      </c>
      <c r="AF8" s="19">
        <f t="shared" si="0"/>
        <v>6</v>
      </c>
    </row>
    <row r="9" spans="1:32" ht="17" thickBot="1" x14ac:dyDescent="0.25">
      <c r="B9" s="11">
        <v>6</v>
      </c>
      <c r="C9" s="12">
        <v>44872</v>
      </c>
      <c r="D9" s="13" t="s">
        <v>7</v>
      </c>
      <c r="E9" s="13">
        <v>83.9</v>
      </c>
      <c r="F9" s="13">
        <v>74.900000000000006</v>
      </c>
      <c r="G9" s="13"/>
      <c r="H9" s="13"/>
      <c r="I9" s="13"/>
      <c r="J9" s="14"/>
      <c r="L9" s="29">
        <v>44953</v>
      </c>
      <c r="M9" s="26">
        <v>2</v>
      </c>
      <c r="N9" s="26">
        <v>3</v>
      </c>
      <c r="O9" s="26">
        <v>0</v>
      </c>
      <c r="P9" s="26">
        <f t="shared" si="1"/>
        <v>5</v>
      </c>
      <c r="Q9" s="26">
        <v>5</v>
      </c>
      <c r="R9" s="26">
        <v>5</v>
      </c>
      <c r="S9" s="26">
        <v>0</v>
      </c>
      <c r="T9" s="26">
        <v>5</v>
      </c>
      <c r="U9" s="26">
        <v>0</v>
      </c>
      <c r="V9" s="26">
        <v>0</v>
      </c>
      <c r="W9" s="26">
        <v>0</v>
      </c>
      <c r="X9" s="26">
        <f t="shared" si="2"/>
        <v>5</v>
      </c>
      <c r="Z9" s="16">
        <v>44953</v>
      </c>
      <c r="AA9" s="17">
        <v>5</v>
      </c>
      <c r="AB9" s="17">
        <v>0</v>
      </c>
      <c r="AC9" s="17">
        <v>5</v>
      </c>
      <c r="AD9" s="17">
        <v>0</v>
      </c>
      <c r="AE9" s="15">
        <v>0</v>
      </c>
      <c r="AF9" s="19">
        <f t="shared" si="0"/>
        <v>5</v>
      </c>
    </row>
    <row r="10" spans="1:32" x14ac:dyDescent="0.2">
      <c r="B10" s="5">
        <v>7</v>
      </c>
      <c r="C10" s="6">
        <v>44909</v>
      </c>
      <c r="D10" s="7" t="s">
        <v>7</v>
      </c>
      <c r="E10" s="7">
        <v>69.5</v>
      </c>
      <c r="F10" s="7">
        <v>62</v>
      </c>
      <c r="G10" s="7"/>
      <c r="H10" s="7"/>
      <c r="I10" s="7"/>
      <c r="J10" s="8"/>
      <c r="L10" s="29">
        <v>44958</v>
      </c>
      <c r="M10" s="26">
        <v>3</v>
      </c>
      <c r="N10" s="26">
        <v>7</v>
      </c>
      <c r="O10" s="26">
        <v>0</v>
      </c>
      <c r="P10" s="26">
        <f t="shared" si="1"/>
        <v>10</v>
      </c>
      <c r="Q10" s="26">
        <v>10</v>
      </c>
      <c r="R10" s="26">
        <v>9</v>
      </c>
      <c r="S10" s="26">
        <v>1</v>
      </c>
      <c r="T10" s="26">
        <v>8</v>
      </c>
      <c r="U10" s="26">
        <v>1</v>
      </c>
      <c r="V10" s="26">
        <v>3</v>
      </c>
      <c r="W10" s="26">
        <v>0</v>
      </c>
      <c r="X10" s="26">
        <f t="shared" si="2"/>
        <v>12</v>
      </c>
      <c r="Z10" s="16">
        <v>44958</v>
      </c>
      <c r="AA10" s="17">
        <v>12</v>
      </c>
      <c r="AB10" s="17">
        <v>3</v>
      </c>
      <c r="AC10" s="17">
        <v>8</v>
      </c>
      <c r="AD10" s="17">
        <v>1</v>
      </c>
      <c r="AE10" s="15">
        <v>0</v>
      </c>
      <c r="AF10" s="19">
        <f t="shared" si="0"/>
        <v>12</v>
      </c>
    </row>
    <row r="11" spans="1:32" x14ac:dyDescent="0.2">
      <c r="B11" s="9">
        <v>8</v>
      </c>
      <c r="C11" s="1">
        <v>44909</v>
      </c>
      <c r="D11" t="s">
        <v>7</v>
      </c>
      <c r="E11">
        <v>70.5</v>
      </c>
      <c r="F11">
        <v>62.9</v>
      </c>
      <c r="J11" s="10"/>
      <c r="L11" s="29">
        <v>44979</v>
      </c>
      <c r="M11" s="26">
        <v>4</v>
      </c>
      <c r="N11" s="26">
        <v>2</v>
      </c>
      <c r="O11" s="26">
        <v>0</v>
      </c>
      <c r="P11" s="26">
        <f t="shared" si="1"/>
        <v>6</v>
      </c>
      <c r="Q11" s="26">
        <v>6</v>
      </c>
      <c r="R11" s="26">
        <v>5</v>
      </c>
      <c r="S11" s="26">
        <v>1</v>
      </c>
      <c r="T11" s="26">
        <v>6</v>
      </c>
      <c r="U11" s="26">
        <v>2</v>
      </c>
      <c r="V11" s="26">
        <v>0</v>
      </c>
      <c r="W11" s="26">
        <v>0</v>
      </c>
      <c r="X11" s="26">
        <f t="shared" si="2"/>
        <v>8</v>
      </c>
      <c r="Z11" s="16">
        <v>44979</v>
      </c>
      <c r="AA11" s="17">
        <v>8</v>
      </c>
      <c r="AB11" s="17">
        <v>0</v>
      </c>
      <c r="AC11" s="17">
        <v>6</v>
      </c>
      <c r="AD11" s="17">
        <v>2</v>
      </c>
      <c r="AE11" s="15">
        <v>0</v>
      </c>
      <c r="AF11" s="19">
        <f t="shared" si="0"/>
        <v>8</v>
      </c>
    </row>
    <row r="12" spans="1:32" x14ac:dyDescent="0.2">
      <c r="B12" s="9">
        <v>9</v>
      </c>
      <c r="C12" s="1">
        <v>44909</v>
      </c>
      <c r="D12" t="s">
        <v>7</v>
      </c>
      <c r="E12">
        <v>82.4</v>
      </c>
      <c r="F12">
        <v>73.599999999999994</v>
      </c>
      <c r="J12" s="10"/>
      <c r="L12" s="29">
        <v>45014</v>
      </c>
      <c r="M12" s="26">
        <v>4</v>
      </c>
      <c r="N12" s="26">
        <v>1</v>
      </c>
      <c r="O12" s="26">
        <v>0</v>
      </c>
      <c r="P12" s="26">
        <f t="shared" si="1"/>
        <v>5</v>
      </c>
      <c r="Q12" s="26">
        <v>5</v>
      </c>
      <c r="R12" s="26">
        <v>5</v>
      </c>
      <c r="S12" s="26">
        <v>0</v>
      </c>
      <c r="T12" s="26">
        <v>5</v>
      </c>
      <c r="U12" s="26">
        <v>1</v>
      </c>
      <c r="V12" s="26">
        <v>0</v>
      </c>
      <c r="W12" s="26">
        <v>0</v>
      </c>
      <c r="X12" s="26">
        <f t="shared" si="2"/>
        <v>6</v>
      </c>
      <c r="Z12" s="16">
        <v>45014</v>
      </c>
      <c r="AA12" s="17">
        <v>6</v>
      </c>
      <c r="AB12" s="17">
        <v>0</v>
      </c>
      <c r="AC12" s="17">
        <v>5</v>
      </c>
      <c r="AD12" s="17">
        <v>1</v>
      </c>
      <c r="AE12" s="15">
        <v>0</v>
      </c>
      <c r="AF12" s="19">
        <f t="shared" si="0"/>
        <v>6</v>
      </c>
    </row>
    <row r="13" spans="1:32" x14ac:dyDescent="0.2">
      <c r="B13" s="9">
        <v>10</v>
      </c>
      <c r="C13" s="1">
        <v>44909</v>
      </c>
      <c r="D13" t="s">
        <v>7</v>
      </c>
      <c r="E13">
        <v>61.2</v>
      </c>
      <c r="F13">
        <v>54.6</v>
      </c>
      <c r="J13" s="10"/>
      <c r="L13" s="29">
        <v>45042</v>
      </c>
      <c r="M13" s="26">
        <v>4</v>
      </c>
      <c r="N13" s="26">
        <v>4</v>
      </c>
      <c r="O13" s="26">
        <v>0</v>
      </c>
      <c r="P13" s="26">
        <f t="shared" si="1"/>
        <v>8</v>
      </c>
      <c r="Q13" s="26">
        <v>8</v>
      </c>
      <c r="R13" s="26">
        <v>7</v>
      </c>
      <c r="S13" s="26">
        <v>1</v>
      </c>
      <c r="T13" s="26">
        <v>8</v>
      </c>
      <c r="U13" s="26">
        <v>4</v>
      </c>
      <c r="V13" s="26">
        <v>2</v>
      </c>
      <c r="W13" s="26">
        <v>0</v>
      </c>
      <c r="X13" s="26">
        <f t="shared" si="2"/>
        <v>14</v>
      </c>
      <c r="Z13" s="16">
        <v>45042</v>
      </c>
      <c r="AA13" s="17">
        <v>14</v>
      </c>
      <c r="AB13" s="17">
        <v>2</v>
      </c>
      <c r="AC13" s="17">
        <v>8</v>
      </c>
      <c r="AD13" s="17">
        <v>4</v>
      </c>
      <c r="AE13" s="15">
        <v>0</v>
      </c>
      <c r="AF13" s="19">
        <f t="shared" si="0"/>
        <v>14</v>
      </c>
    </row>
    <row r="14" spans="1:32" x14ac:dyDescent="0.2">
      <c r="B14" s="9">
        <v>11</v>
      </c>
      <c r="C14" s="1">
        <v>44909</v>
      </c>
      <c r="D14" t="s">
        <v>5</v>
      </c>
      <c r="F14">
        <v>80.2</v>
      </c>
      <c r="J14" s="10" t="s">
        <v>41</v>
      </c>
      <c r="L14" s="29">
        <v>45070</v>
      </c>
      <c r="M14" s="26">
        <v>4</v>
      </c>
      <c r="N14" s="26">
        <v>3</v>
      </c>
      <c r="O14" s="26">
        <v>0</v>
      </c>
      <c r="P14" s="26">
        <f t="shared" si="1"/>
        <v>7</v>
      </c>
      <c r="Q14" s="26">
        <v>7</v>
      </c>
      <c r="R14" s="26">
        <v>5</v>
      </c>
      <c r="S14" s="26">
        <v>2</v>
      </c>
      <c r="T14" s="26">
        <v>10</v>
      </c>
      <c r="U14" s="26">
        <v>2</v>
      </c>
      <c r="V14" s="26">
        <v>0</v>
      </c>
      <c r="W14" s="26">
        <v>1</v>
      </c>
      <c r="X14" s="26">
        <f t="shared" si="2"/>
        <v>13</v>
      </c>
      <c r="Z14" s="16">
        <v>45070</v>
      </c>
      <c r="AA14" s="17">
        <v>13</v>
      </c>
      <c r="AB14" s="17">
        <v>0</v>
      </c>
      <c r="AC14" s="17">
        <v>10</v>
      </c>
      <c r="AD14" s="17">
        <v>2</v>
      </c>
      <c r="AE14" s="15">
        <v>1</v>
      </c>
      <c r="AF14" s="19">
        <f>SUM(AB14:AE14)</f>
        <v>13</v>
      </c>
    </row>
    <row r="15" spans="1:32" ht="17" thickBot="1" x14ac:dyDescent="0.25">
      <c r="B15" s="11">
        <v>12</v>
      </c>
      <c r="C15" s="12">
        <v>44909</v>
      </c>
      <c r="D15" s="13" t="s">
        <v>6</v>
      </c>
      <c r="E15" s="13">
        <v>21.8</v>
      </c>
      <c r="F15" s="13">
        <v>19.8</v>
      </c>
      <c r="G15" s="13"/>
      <c r="H15" s="13" t="s">
        <v>38</v>
      </c>
      <c r="I15" s="13"/>
      <c r="J15" s="14"/>
      <c r="L15" s="29">
        <v>45112</v>
      </c>
      <c r="M15" s="26">
        <v>1</v>
      </c>
      <c r="N15" s="26">
        <v>2</v>
      </c>
      <c r="O15" s="26">
        <v>0</v>
      </c>
      <c r="P15" s="26">
        <f t="shared" si="1"/>
        <v>3</v>
      </c>
      <c r="Q15" s="26">
        <v>3</v>
      </c>
      <c r="R15" s="26">
        <v>2</v>
      </c>
      <c r="S15" s="26">
        <v>1</v>
      </c>
      <c r="T15" s="26">
        <v>4</v>
      </c>
      <c r="U15" s="26">
        <v>0</v>
      </c>
      <c r="V15" s="26">
        <v>0</v>
      </c>
      <c r="W15" s="26">
        <v>0</v>
      </c>
      <c r="X15" s="26">
        <f t="shared" si="2"/>
        <v>4</v>
      </c>
      <c r="Z15" s="16">
        <v>45112</v>
      </c>
      <c r="AA15" s="17">
        <v>4</v>
      </c>
      <c r="AB15" s="17">
        <v>0</v>
      </c>
      <c r="AC15" s="17">
        <v>4</v>
      </c>
      <c r="AD15" s="17">
        <v>0</v>
      </c>
      <c r="AE15" s="15">
        <v>0</v>
      </c>
      <c r="AF15" s="19">
        <f>SUM(AB15:AE15)</f>
        <v>4</v>
      </c>
    </row>
    <row r="16" spans="1:32" x14ac:dyDescent="0.2">
      <c r="B16" s="5">
        <v>13</v>
      </c>
      <c r="C16" s="6">
        <v>44916</v>
      </c>
      <c r="D16" s="7" t="s">
        <v>7</v>
      </c>
      <c r="E16" s="7">
        <v>61.8</v>
      </c>
      <c r="F16" s="7">
        <v>55.2</v>
      </c>
      <c r="G16" s="7"/>
      <c r="H16" s="7"/>
      <c r="I16" s="7"/>
      <c r="J16" s="8"/>
      <c r="L16" s="29">
        <v>45166</v>
      </c>
      <c r="M16" s="26">
        <v>2</v>
      </c>
      <c r="N16" s="26">
        <v>3</v>
      </c>
      <c r="O16" s="26">
        <v>0</v>
      </c>
      <c r="P16" s="26">
        <f t="shared" si="1"/>
        <v>5</v>
      </c>
      <c r="Q16" s="26">
        <v>5</v>
      </c>
      <c r="R16" s="26">
        <v>5</v>
      </c>
      <c r="S16" s="26">
        <v>0</v>
      </c>
      <c r="T16" s="26">
        <v>5</v>
      </c>
      <c r="U16" s="26">
        <v>0</v>
      </c>
      <c r="V16" s="26">
        <v>0</v>
      </c>
      <c r="W16" s="26">
        <v>0</v>
      </c>
      <c r="X16" s="26">
        <f t="shared" si="2"/>
        <v>5</v>
      </c>
      <c r="Z16" s="16">
        <v>45166</v>
      </c>
      <c r="AA16" s="17">
        <v>5</v>
      </c>
      <c r="AB16" s="17">
        <v>0</v>
      </c>
      <c r="AC16" s="17">
        <v>5</v>
      </c>
      <c r="AD16" s="17">
        <v>0</v>
      </c>
      <c r="AE16" s="15">
        <v>0</v>
      </c>
      <c r="AF16" s="19">
        <f>SUM(AB16:AE16)</f>
        <v>5</v>
      </c>
    </row>
    <row r="17" spans="2:32" x14ac:dyDescent="0.2">
      <c r="B17" s="9">
        <v>14</v>
      </c>
      <c r="C17" s="1">
        <v>44916</v>
      </c>
      <c r="D17" t="s">
        <v>7</v>
      </c>
      <c r="E17">
        <v>78.3</v>
      </c>
      <c r="F17">
        <v>69.900000000000006</v>
      </c>
      <c r="J17" s="10"/>
      <c r="L17" s="29">
        <v>45210</v>
      </c>
      <c r="M17" s="26">
        <v>5</v>
      </c>
      <c r="N17" s="26">
        <v>3</v>
      </c>
      <c r="O17" s="26">
        <v>0</v>
      </c>
      <c r="P17" s="26">
        <f t="shared" si="1"/>
        <v>8</v>
      </c>
      <c r="Q17" s="26">
        <v>8</v>
      </c>
      <c r="R17" s="26">
        <v>6</v>
      </c>
      <c r="S17" s="26">
        <v>2</v>
      </c>
      <c r="T17" s="26">
        <v>12</v>
      </c>
      <c r="U17" s="26">
        <v>4</v>
      </c>
      <c r="V17" s="26">
        <v>2</v>
      </c>
      <c r="W17" s="26">
        <v>0</v>
      </c>
      <c r="X17" s="26">
        <f t="shared" si="2"/>
        <v>18</v>
      </c>
      <c r="Z17" s="16">
        <v>45210</v>
      </c>
      <c r="AA17" s="17">
        <v>18</v>
      </c>
      <c r="AB17" s="17">
        <v>2</v>
      </c>
      <c r="AC17" s="17">
        <v>12</v>
      </c>
      <c r="AD17" s="17">
        <v>4</v>
      </c>
      <c r="AE17" s="15">
        <v>0</v>
      </c>
      <c r="AF17" s="19">
        <f>SUM(AB17:AE17)</f>
        <v>18</v>
      </c>
    </row>
    <row r="18" spans="2:32" x14ac:dyDescent="0.2">
      <c r="B18" s="9">
        <v>15</v>
      </c>
      <c r="C18" s="1">
        <v>44916</v>
      </c>
      <c r="D18" t="s">
        <v>7</v>
      </c>
      <c r="E18">
        <v>72.2</v>
      </c>
      <c r="F18">
        <v>64.5</v>
      </c>
      <c r="J18" s="10"/>
      <c r="L18" s="29">
        <v>45245</v>
      </c>
      <c r="M18" s="26">
        <v>5</v>
      </c>
      <c r="N18" s="26">
        <v>2</v>
      </c>
      <c r="O18" s="26">
        <v>0</v>
      </c>
      <c r="P18" s="26">
        <f t="shared" si="1"/>
        <v>7</v>
      </c>
      <c r="Q18" s="26">
        <v>7</v>
      </c>
      <c r="R18" s="26">
        <v>7</v>
      </c>
      <c r="S18" s="26">
        <v>0</v>
      </c>
      <c r="T18" s="26">
        <v>6</v>
      </c>
      <c r="U18" s="26">
        <v>3</v>
      </c>
      <c r="V18" s="26">
        <v>0</v>
      </c>
      <c r="W18" s="26">
        <v>0</v>
      </c>
      <c r="X18" s="26">
        <f t="shared" si="2"/>
        <v>9</v>
      </c>
      <c r="Z18" s="16">
        <v>45245</v>
      </c>
      <c r="AA18" s="17">
        <v>9</v>
      </c>
      <c r="AB18" s="17">
        <v>0</v>
      </c>
      <c r="AC18" s="17">
        <v>6</v>
      </c>
      <c r="AD18" s="17">
        <v>3</v>
      </c>
      <c r="AE18" s="15">
        <v>0</v>
      </c>
      <c r="AF18" s="19">
        <f t="shared" ref="AF18:AF20" si="3">SUM(AB18:AE18)</f>
        <v>9</v>
      </c>
    </row>
    <row r="19" spans="2:32" x14ac:dyDescent="0.2">
      <c r="B19" s="9">
        <v>16</v>
      </c>
      <c r="C19" s="1">
        <v>44916</v>
      </c>
      <c r="D19" t="s">
        <v>6</v>
      </c>
      <c r="E19">
        <v>24</v>
      </c>
      <c r="F19">
        <v>21.8</v>
      </c>
      <c r="H19" t="s">
        <v>38</v>
      </c>
      <c r="J19" s="10"/>
      <c r="L19" s="29">
        <v>45315</v>
      </c>
      <c r="M19" s="26">
        <v>5</v>
      </c>
      <c r="N19" s="26">
        <v>5</v>
      </c>
      <c r="O19" s="26">
        <v>0</v>
      </c>
      <c r="P19" s="26">
        <f t="shared" si="1"/>
        <v>10</v>
      </c>
      <c r="Q19" s="26">
        <v>10</v>
      </c>
      <c r="R19" s="26">
        <v>8</v>
      </c>
      <c r="S19" s="26">
        <v>2</v>
      </c>
      <c r="T19" s="26">
        <v>12</v>
      </c>
      <c r="U19" s="26">
        <v>2</v>
      </c>
      <c r="V19" s="26">
        <v>0</v>
      </c>
      <c r="W19" s="26">
        <v>1</v>
      </c>
      <c r="X19" s="26">
        <f t="shared" si="2"/>
        <v>15</v>
      </c>
      <c r="Z19" s="16">
        <v>45315</v>
      </c>
      <c r="AA19" s="17">
        <v>15</v>
      </c>
      <c r="AB19" s="17">
        <v>0</v>
      </c>
      <c r="AC19" s="17">
        <v>12</v>
      </c>
      <c r="AD19" s="17">
        <v>2</v>
      </c>
      <c r="AE19" s="15">
        <v>1</v>
      </c>
      <c r="AF19" s="19">
        <f t="shared" si="3"/>
        <v>15</v>
      </c>
    </row>
    <row r="20" spans="2:32" x14ac:dyDescent="0.2">
      <c r="B20" s="9">
        <v>17</v>
      </c>
      <c r="C20" s="1">
        <v>44916</v>
      </c>
      <c r="D20" t="s">
        <v>7</v>
      </c>
      <c r="E20">
        <v>68.5</v>
      </c>
      <c r="F20">
        <v>61.2</v>
      </c>
      <c r="J20" s="10"/>
      <c r="L20" s="29">
        <v>45352</v>
      </c>
      <c r="M20" s="26">
        <v>5</v>
      </c>
      <c r="N20" s="26">
        <v>2</v>
      </c>
      <c r="O20" s="26">
        <v>0</v>
      </c>
      <c r="P20" s="26">
        <f t="shared" si="1"/>
        <v>7</v>
      </c>
      <c r="Q20" s="26">
        <v>7</v>
      </c>
      <c r="R20" s="26">
        <v>6</v>
      </c>
      <c r="S20" s="26">
        <v>1</v>
      </c>
      <c r="T20" s="26">
        <v>8</v>
      </c>
      <c r="U20" s="26">
        <v>2</v>
      </c>
      <c r="V20" s="26">
        <v>0</v>
      </c>
      <c r="W20" s="26">
        <v>0</v>
      </c>
      <c r="X20" s="26">
        <f t="shared" si="2"/>
        <v>10</v>
      </c>
      <c r="Z20" s="16">
        <v>45352</v>
      </c>
      <c r="AA20" s="17">
        <v>10</v>
      </c>
      <c r="AB20" s="17">
        <v>0</v>
      </c>
      <c r="AC20" s="17">
        <v>8</v>
      </c>
      <c r="AD20" s="17">
        <v>2</v>
      </c>
      <c r="AE20" s="15">
        <v>0</v>
      </c>
      <c r="AF20" s="19">
        <f t="shared" si="3"/>
        <v>10</v>
      </c>
    </row>
    <row r="21" spans="2:32" x14ac:dyDescent="0.2">
      <c r="B21" s="9">
        <v>18</v>
      </c>
      <c r="C21" s="1">
        <v>44916</v>
      </c>
      <c r="D21" t="s">
        <v>6</v>
      </c>
      <c r="E21">
        <v>23.1</v>
      </c>
      <c r="F21">
        <v>21</v>
      </c>
      <c r="H21" t="s">
        <v>38</v>
      </c>
      <c r="J21" s="10"/>
      <c r="L21" s="29">
        <v>45392</v>
      </c>
      <c r="M21" s="26">
        <v>1</v>
      </c>
      <c r="N21" s="26">
        <v>5</v>
      </c>
      <c r="O21" s="26">
        <v>1</v>
      </c>
      <c r="P21" s="26">
        <f>SUM(M21:N21)</f>
        <v>6</v>
      </c>
      <c r="Q21" s="26">
        <v>6</v>
      </c>
      <c r="R21" s="26">
        <v>5</v>
      </c>
      <c r="S21" s="26">
        <v>1</v>
      </c>
      <c r="T21" s="26">
        <v>5</v>
      </c>
      <c r="U21" s="26">
        <v>2</v>
      </c>
      <c r="V21" s="26">
        <v>4</v>
      </c>
      <c r="W21" s="26">
        <v>0</v>
      </c>
      <c r="X21" s="26">
        <f t="shared" si="2"/>
        <v>11</v>
      </c>
      <c r="Z21" s="16">
        <v>45392</v>
      </c>
      <c r="AA21" s="15">
        <v>11</v>
      </c>
      <c r="AB21" s="15">
        <v>4</v>
      </c>
      <c r="AC21" s="15">
        <v>5</v>
      </c>
      <c r="AD21" s="15">
        <v>2</v>
      </c>
      <c r="AE21" s="15">
        <v>0</v>
      </c>
      <c r="AF21" s="19">
        <f>SUM(AB21:AE21)</f>
        <v>11</v>
      </c>
    </row>
    <row r="22" spans="2:32" x14ac:dyDescent="0.2">
      <c r="B22" s="9">
        <v>19</v>
      </c>
      <c r="C22" s="1">
        <v>44916</v>
      </c>
      <c r="D22" t="s">
        <v>7</v>
      </c>
      <c r="E22">
        <v>69.3</v>
      </c>
      <c r="F22">
        <v>61.9</v>
      </c>
      <c r="J22" s="10"/>
      <c r="L22" s="29">
        <v>45462</v>
      </c>
      <c r="M22" s="26">
        <v>4</v>
      </c>
      <c r="N22" s="26">
        <v>1</v>
      </c>
      <c r="O22" s="26">
        <v>0</v>
      </c>
      <c r="P22" s="26">
        <f>SUM(M22:N22)</f>
        <v>5</v>
      </c>
      <c r="Q22" s="26">
        <v>5</v>
      </c>
      <c r="R22" s="26">
        <v>3</v>
      </c>
      <c r="S22" s="26">
        <v>2</v>
      </c>
      <c r="T22" s="26">
        <v>6</v>
      </c>
      <c r="U22" s="26">
        <v>0</v>
      </c>
      <c r="V22" s="26">
        <v>1</v>
      </c>
      <c r="W22" s="26">
        <v>0</v>
      </c>
      <c r="X22" s="26">
        <f>SUM(T22:W22)</f>
        <v>7</v>
      </c>
      <c r="Z22" s="16">
        <v>45462</v>
      </c>
      <c r="AA22" s="15">
        <v>7</v>
      </c>
      <c r="AB22" s="15">
        <v>1</v>
      </c>
      <c r="AC22" s="15">
        <v>6</v>
      </c>
      <c r="AD22" s="15">
        <v>0</v>
      </c>
      <c r="AE22" s="15">
        <v>0</v>
      </c>
      <c r="AF22" s="19">
        <f>SUM(AB22:AE22)</f>
        <v>7</v>
      </c>
    </row>
    <row r="23" spans="2:32" x14ac:dyDescent="0.2">
      <c r="B23" s="9">
        <v>20</v>
      </c>
      <c r="C23" s="1">
        <v>44916</v>
      </c>
      <c r="D23" t="s">
        <v>5</v>
      </c>
      <c r="F23">
        <v>79.099999999999994</v>
      </c>
      <c r="J23" s="10" t="s">
        <v>19</v>
      </c>
      <c r="L23" s="29">
        <v>45483</v>
      </c>
      <c r="M23" s="26">
        <v>5</v>
      </c>
      <c r="N23" s="26">
        <v>10</v>
      </c>
      <c r="O23" s="26">
        <v>0</v>
      </c>
      <c r="P23" s="26">
        <f>SUM(M23:N23)</f>
        <v>15</v>
      </c>
      <c r="Q23" s="26">
        <v>11</v>
      </c>
      <c r="R23" s="26">
        <v>10</v>
      </c>
      <c r="S23" s="26">
        <v>5</v>
      </c>
      <c r="T23" s="26">
        <v>12</v>
      </c>
      <c r="U23" s="26">
        <v>5</v>
      </c>
      <c r="V23" s="26">
        <v>2</v>
      </c>
      <c r="W23" s="26">
        <v>0</v>
      </c>
      <c r="X23" s="26">
        <f>SUM(T23:W23)</f>
        <v>19</v>
      </c>
      <c r="Z23" s="16">
        <v>45483</v>
      </c>
      <c r="AA23" s="15">
        <v>19</v>
      </c>
      <c r="AB23" s="15">
        <v>2</v>
      </c>
      <c r="AC23" s="15">
        <v>12</v>
      </c>
      <c r="AD23" s="15">
        <v>5</v>
      </c>
      <c r="AE23" s="15">
        <v>0</v>
      </c>
      <c r="AF23" s="19">
        <f>SUM(AB23:AE23)</f>
        <v>19</v>
      </c>
    </row>
    <row r="24" spans="2:32" ht="17" thickBot="1" x14ac:dyDescent="0.25">
      <c r="B24" s="11">
        <v>21</v>
      </c>
      <c r="C24" s="12">
        <v>44916</v>
      </c>
      <c r="D24" s="13" t="s">
        <v>5</v>
      </c>
      <c r="E24" s="13"/>
      <c r="F24" s="13">
        <v>88.1</v>
      </c>
      <c r="G24" s="13"/>
      <c r="H24" s="13"/>
      <c r="I24" s="13"/>
      <c r="J24" s="14" t="s">
        <v>20</v>
      </c>
      <c r="L24" s="29">
        <v>45518</v>
      </c>
      <c r="M24" s="26">
        <v>7</v>
      </c>
      <c r="N24" s="26">
        <v>5</v>
      </c>
      <c r="O24" s="26">
        <v>0</v>
      </c>
      <c r="P24" s="26">
        <f>SUM(M24:N24)</f>
        <v>12</v>
      </c>
      <c r="Q24" s="26">
        <v>12</v>
      </c>
      <c r="R24" s="26">
        <v>9</v>
      </c>
      <c r="S24" s="26">
        <v>3</v>
      </c>
      <c r="T24" s="26">
        <v>9</v>
      </c>
      <c r="U24" s="26">
        <v>3</v>
      </c>
      <c r="V24" s="26">
        <v>2</v>
      </c>
      <c r="W24" s="26">
        <v>0</v>
      </c>
      <c r="X24" s="26">
        <f>SUM(T24:W24)</f>
        <v>14</v>
      </c>
      <c r="Z24" s="16">
        <v>45518</v>
      </c>
      <c r="AA24" s="15">
        <v>14</v>
      </c>
      <c r="AB24" s="15">
        <v>2</v>
      </c>
      <c r="AC24" s="15">
        <v>9</v>
      </c>
      <c r="AD24" s="15">
        <v>3</v>
      </c>
      <c r="AE24" s="15">
        <v>0</v>
      </c>
      <c r="AF24" s="19">
        <f>SUM(AB24:AE24)</f>
        <v>14</v>
      </c>
    </row>
    <row r="25" spans="2:32" x14ac:dyDescent="0.2">
      <c r="B25" s="5">
        <v>22</v>
      </c>
      <c r="C25" s="6">
        <v>44937</v>
      </c>
      <c r="D25" s="7" t="s">
        <v>7</v>
      </c>
      <c r="E25" s="7">
        <v>62.7</v>
      </c>
      <c r="F25" s="7">
        <v>56</v>
      </c>
      <c r="G25" s="7">
        <v>0.21</v>
      </c>
      <c r="H25" s="7"/>
      <c r="I25" s="7"/>
      <c r="J25" s="8"/>
      <c r="L25" s="29">
        <v>45553</v>
      </c>
      <c r="M25" s="26">
        <v>7</v>
      </c>
      <c r="N25" s="26">
        <v>8</v>
      </c>
      <c r="O25" s="26">
        <v>0</v>
      </c>
      <c r="P25" s="26">
        <f>SUM(M25:N25)</f>
        <v>15</v>
      </c>
      <c r="Q25" s="26">
        <v>15</v>
      </c>
      <c r="R25" s="26">
        <v>12</v>
      </c>
      <c r="S25" s="26">
        <v>3</v>
      </c>
      <c r="T25" s="26">
        <v>17</v>
      </c>
      <c r="U25" s="26">
        <v>3</v>
      </c>
      <c r="V25" s="26">
        <v>0</v>
      </c>
      <c r="W25" s="26">
        <v>0</v>
      </c>
      <c r="X25" s="26">
        <f>SUM(T25:W25)</f>
        <v>20</v>
      </c>
      <c r="Z25" s="16">
        <v>45553</v>
      </c>
      <c r="AA25" s="15">
        <v>20</v>
      </c>
      <c r="AB25" s="15">
        <v>0</v>
      </c>
      <c r="AC25" s="15">
        <v>17</v>
      </c>
      <c r="AD25" s="15">
        <v>3</v>
      </c>
      <c r="AE25" s="15">
        <v>0</v>
      </c>
      <c r="AF25" s="19">
        <f>SUM(AB25:AE25)</f>
        <v>20</v>
      </c>
    </row>
    <row r="26" spans="2:32" x14ac:dyDescent="0.2">
      <c r="B26" s="9">
        <v>23</v>
      </c>
      <c r="C26" s="1">
        <v>44937</v>
      </c>
      <c r="D26" t="s">
        <v>6</v>
      </c>
      <c r="E26">
        <v>13.2</v>
      </c>
      <c r="F26">
        <v>12</v>
      </c>
      <c r="G26">
        <v>0.26</v>
      </c>
      <c r="H26" t="s">
        <v>15</v>
      </c>
      <c r="J26" s="10"/>
      <c r="L26" s="29">
        <v>45567</v>
      </c>
      <c r="M26" s="26">
        <v>6</v>
      </c>
      <c r="N26" s="26">
        <v>7</v>
      </c>
      <c r="O26" s="26">
        <v>0</v>
      </c>
      <c r="P26" s="26">
        <f t="shared" ref="P26:P31" si="4">SUM(M26:N26)</f>
        <v>13</v>
      </c>
      <c r="Q26" s="26">
        <v>12</v>
      </c>
      <c r="R26" s="26">
        <v>11</v>
      </c>
      <c r="S26" s="26">
        <v>2</v>
      </c>
      <c r="T26" s="26">
        <v>12</v>
      </c>
      <c r="U26" s="26">
        <v>1</v>
      </c>
      <c r="V26" s="26">
        <v>4</v>
      </c>
      <c r="W26" s="26">
        <v>4</v>
      </c>
      <c r="X26" s="26">
        <f t="shared" ref="X26:X31" si="5">SUM(T26:W26)</f>
        <v>21</v>
      </c>
      <c r="Z26" s="32">
        <v>45567</v>
      </c>
      <c r="AA26" s="15">
        <v>21</v>
      </c>
      <c r="AB26" s="15">
        <v>4</v>
      </c>
      <c r="AC26" s="15">
        <v>12</v>
      </c>
      <c r="AD26" s="15">
        <v>1</v>
      </c>
      <c r="AE26" s="15">
        <v>4</v>
      </c>
      <c r="AF26" s="19">
        <f t="shared" ref="AF26:AF31" si="6">SUM(AB26:AE26)</f>
        <v>21</v>
      </c>
    </row>
    <row r="27" spans="2:32" x14ac:dyDescent="0.2">
      <c r="B27" s="9">
        <v>24</v>
      </c>
      <c r="C27" s="1">
        <v>44937</v>
      </c>
      <c r="D27" t="s">
        <v>7</v>
      </c>
      <c r="E27">
        <v>58.3</v>
      </c>
      <c r="F27">
        <v>52</v>
      </c>
      <c r="G27">
        <v>0.19</v>
      </c>
      <c r="I27">
        <v>15</v>
      </c>
      <c r="J27" s="10"/>
      <c r="L27" s="29">
        <v>45581</v>
      </c>
      <c r="M27" s="26">
        <v>4</v>
      </c>
      <c r="N27" s="26">
        <v>5</v>
      </c>
      <c r="O27" s="26">
        <v>0</v>
      </c>
      <c r="P27" s="26">
        <f t="shared" si="4"/>
        <v>9</v>
      </c>
      <c r="Q27" s="26">
        <v>8</v>
      </c>
      <c r="R27" s="26">
        <v>8</v>
      </c>
      <c r="S27" s="26">
        <v>1</v>
      </c>
      <c r="T27" s="26">
        <v>8</v>
      </c>
      <c r="U27" s="26">
        <v>3</v>
      </c>
      <c r="V27" s="26">
        <v>0</v>
      </c>
      <c r="W27" s="26">
        <v>2</v>
      </c>
      <c r="X27" s="26">
        <f t="shared" si="5"/>
        <v>13</v>
      </c>
      <c r="Z27" s="32">
        <v>45581</v>
      </c>
      <c r="AA27" s="15">
        <v>13</v>
      </c>
      <c r="AB27" s="15">
        <v>0</v>
      </c>
      <c r="AC27" s="15">
        <v>8</v>
      </c>
      <c r="AD27" s="15">
        <v>3</v>
      </c>
      <c r="AE27" s="15">
        <v>2</v>
      </c>
      <c r="AF27" s="19">
        <f t="shared" si="6"/>
        <v>13</v>
      </c>
    </row>
    <row r="28" spans="2:32" x14ac:dyDescent="0.2">
      <c r="B28" s="9">
        <v>25</v>
      </c>
      <c r="C28" s="1">
        <v>44937</v>
      </c>
      <c r="D28" t="s">
        <v>7</v>
      </c>
      <c r="E28">
        <v>84.6</v>
      </c>
      <c r="F28">
        <v>75.5</v>
      </c>
      <c r="G28">
        <v>0.2</v>
      </c>
      <c r="I28">
        <v>20</v>
      </c>
      <c r="J28" s="10"/>
      <c r="L28" s="29">
        <v>45595</v>
      </c>
      <c r="M28" s="26">
        <v>3</v>
      </c>
      <c r="N28" s="26">
        <v>7</v>
      </c>
      <c r="O28" s="26">
        <v>0</v>
      </c>
      <c r="P28" s="26">
        <f t="shared" si="4"/>
        <v>10</v>
      </c>
      <c r="Q28" s="26">
        <v>10</v>
      </c>
      <c r="R28" s="26">
        <v>9</v>
      </c>
      <c r="S28" s="26">
        <v>1</v>
      </c>
      <c r="T28" s="26">
        <v>10</v>
      </c>
      <c r="U28" s="26">
        <v>3</v>
      </c>
      <c r="V28" s="26">
        <v>0</v>
      </c>
      <c r="W28" s="26">
        <v>2</v>
      </c>
      <c r="X28" s="26">
        <f t="shared" si="5"/>
        <v>15</v>
      </c>
      <c r="Z28" s="32">
        <v>45595</v>
      </c>
      <c r="AA28" s="15">
        <v>15</v>
      </c>
      <c r="AB28" s="15">
        <v>0</v>
      </c>
      <c r="AC28" s="15">
        <v>10</v>
      </c>
      <c r="AD28" s="15">
        <v>3</v>
      </c>
      <c r="AE28" s="15">
        <v>2</v>
      </c>
      <c r="AF28" s="19">
        <f t="shared" si="6"/>
        <v>15</v>
      </c>
    </row>
    <row r="29" spans="2:32" x14ac:dyDescent="0.2">
      <c r="B29" s="9">
        <v>26</v>
      </c>
      <c r="C29" s="1">
        <v>44937</v>
      </c>
      <c r="D29" t="s">
        <v>6</v>
      </c>
      <c r="E29">
        <v>13.1</v>
      </c>
      <c r="F29">
        <v>11.9</v>
      </c>
      <c r="H29" t="s">
        <v>15</v>
      </c>
      <c r="J29" s="10"/>
      <c r="L29" s="29">
        <v>45609</v>
      </c>
      <c r="M29" s="26">
        <v>6</v>
      </c>
      <c r="N29" s="26">
        <v>10</v>
      </c>
      <c r="O29" s="26">
        <v>0</v>
      </c>
      <c r="P29" s="26">
        <f t="shared" si="4"/>
        <v>16</v>
      </c>
      <c r="Q29" s="26">
        <v>15</v>
      </c>
      <c r="R29" s="26">
        <v>13</v>
      </c>
      <c r="S29" s="26">
        <v>3</v>
      </c>
      <c r="T29" s="26">
        <v>9</v>
      </c>
      <c r="U29" s="26">
        <v>6</v>
      </c>
      <c r="V29" s="26">
        <v>6</v>
      </c>
      <c r="W29" s="26">
        <v>2</v>
      </c>
      <c r="X29" s="26">
        <f t="shared" si="5"/>
        <v>23</v>
      </c>
      <c r="Z29" s="32">
        <v>45609</v>
      </c>
      <c r="AA29" s="15">
        <v>23</v>
      </c>
      <c r="AB29" s="15">
        <v>6</v>
      </c>
      <c r="AC29" s="15">
        <v>9</v>
      </c>
      <c r="AD29" s="15">
        <v>6</v>
      </c>
      <c r="AE29" s="15">
        <v>2</v>
      </c>
      <c r="AF29" s="19">
        <f t="shared" si="6"/>
        <v>23</v>
      </c>
    </row>
    <row r="30" spans="2:32" x14ac:dyDescent="0.2">
      <c r="B30" s="9">
        <v>27</v>
      </c>
      <c r="C30" s="1">
        <v>44937</v>
      </c>
      <c r="D30" t="s">
        <v>7</v>
      </c>
      <c r="E30">
        <v>66.2</v>
      </c>
      <c r="F30">
        <v>59.1</v>
      </c>
      <c r="G30">
        <v>0.23</v>
      </c>
      <c r="J30" s="10"/>
      <c r="L30" s="29">
        <v>45623</v>
      </c>
      <c r="M30" s="26">
        <v>7</v>
      </c>
      <c r="N30" s="26">
        <v>7</v>
      </c>
      <c r="O30" s="26">
        <v>0</v>
      </c>
      <c r="P30" s="26">
        <f t="shared" si="4"/>
        <v>14</v>
      </c>
      <c r="Q30" s="26">
        <v>13</v>
      </c>
      <c r="R30" s="26">
        <v>9</v>
      </c>
      <c r="S30" s="26">
        <v>5</v>
      </c>
      <c r="T30" s="26">
        <v>9</v>
      </c>
      <c r="U30" s="26">
        <v>4</v>
      </c>
      <c r="V30" s="26">
        <v>4</v>
      </c>
      <c r="W30" s="26">
        <v>1</v>
      </c>
      <c r="X30" s="26">
        <f>SUM(T30:W30)</f>
        <v>18</v>
      </c>
      <c r="Z30" s="32">
        <v>45623</v>
      </c>
      <c r="AA30" s="15">
        <v>18</v>
      </c>
      <c r="AB30" s="15">
        <v>4</v>
      </c>
      <c r="AC30" s="15">
        <v>9</v>
      </c>
      <c r="AD30" s="15">
        <v>4</v>
      </c>
      <c r="AE30" s="15">
        <v>1</v>
      </c>
      <c r="AF30" s="19">
        <f t="shared" si="6"/>
        <v>18</v>
      </c>
    </row>
    <row r="31" spans="2:32" x14ac:dyDescent="0.2">
      <c r="B31" s="9">
        <v>28</v>
      </c>
      <c r="C31" s="1">
        <v>44937</v>
      </c>
      <c r="D31" t="s">
        <v>7</v>
      </c>
      <c r="E31">
        <v>82.3</v>
      </c>
      <c r="F31">
        <v>73.5</v>
      </c>
      <c r="J31" s="10"/>
      <c r="L31" s="29">
        <v>45637</v>
      </c>
      <c r="M31" s="26">
        <v>6</v>
      </c>
      <c r="N31" s="26">
        <v>9</v>
      </c>
      <c r="O31" s="26">
        <v>0</v>
      </c>
      <c r="P31" s="26">
        <f t="shared" si="4"/>
        <v>15</v>
      </c>
      <c r="Q31" s="26">
        <v>15</v>
      </c>
      <c r="R31" s="26">
        <v>12</v>
      </c>
      <c r="S31" s="26">
        <v>3</v>
      </c>
      <c r="T31" s="26">
        <v>10</v>
      </c>
      <c r="U31" s="26">
        <v>2</v>
      </c>
      <c r="V31" s="26">
        <v>5</v>
      </c>
      <c r="W31" s="26">
        <v>6</v>
      </c>
      <c r="X31" s="26">
        <f t="shared" si="5"/>
        <v>23</v>
      </c>
      <c r="Z31" s="32">
        <v>45637</v>
      </c>
      <c r="AA31" s="15">
        <v>23</v>
      </c>
      <c r="AB31" s="15">
        <v>5</v>
      </c>
      <c r="AC31" s="15">
        <v>10</v>
      </c>
      <c r="AD31" s="15">
        <v>2</v>
      </c>
      <c r="AE31" s="15">
        <v>6</v>
      </c>
      <c r="AF31" s="19">
        <f t="shared" si="6"/>
        <v>23</v>
      </c>
    </row>
    <row r="32" spans="2:32" x14ac:dyDescent="0.2">
      <c r="B32" s="9">
        <v>29</v>
      </c>
      <c r="C32" s="1">
        <v>44937</v>
      </c>
      <c r="D32" t="s">
        <v>7</v>
      </c>
      <c r="E32">
        <v>57.1</v>
      </c>
      <c r="F32">
        <v>51</v>
      </c>
      <c r="G32">
        <v>0.16</v>
      </c>
      <c r="H32" t="s">
        <v>18</v>
      </c>
      <c r="J32" s="10"/>
      <c r="L32" s="29">
        <v>45644</v>
      </c>
      <c r="M32" s="26">
        <v>3</v>
      </c>
      <c r="N32" s="26">
        <v>5</v>
      </c>
      <c r="O32" s="26">
        <v>0</v>
      </c>
      <c r="P32" s="26">
        <f>SUM(M32:N32)</f>
        <v>8</v>
      </c>
      <c r="Q32" s="26">
        <v>8</v>
      </c>
      <c r="R32" s="26">
        <v>7</v>
      </c>
      <c r="S32" s="26">
        <v>1</v>
      </c>
      <c r="T32" s="26">
        <v>6</v>
      </c>
      <c r="U32" s="26">
        <v>2</v>
      </c>
      <c r="V32" s="26">
        <v>3</v>
      </c>
      <c r="W32" s="26">
        <v>0</v>
      </c>
      <c r="X32" s="26">
        <f>SUM(T32:W32)</f>
        <v>11</v>
      </c>
      <c r="Z32" s="32">
        <v>45644</v>
      </c>
      <c r="AA32" s="15">
        <v>11</v>
      </c>
      <c r="AB32" s="15">
        <v>3</v>
      </c>
      <c r="AC32" s="15">
        <v>6</v>
      </c>
      <c r="AD32" s="15">
        <v>2</v>
      </c>
      <c r="AE32" s="15">
        <v>0</v>
      </c>
      <c r="AF32" s="19">
        <f t="shared" ref="AF32" si="7">SUM(AB32:AE32)</f>
        <v>11</v>
      </c>
    </row>
    <row r="33" spans="2:32" x14ac:dyDescent="0.2">
      <c r="B33" s="9">
        <v>30</v>
      </c>
      <c r="C33" s="1">
        <v>44937</v>
      </c>
      <c r="D33" t="s">
        <v>7</v>
      </c>
      <c r="E33">
        <v>57.9</v>
      </c>
      <c r="F33">
        <v>51.7</v>
      </c>
      <c r="G33">
        <v>0.22</v>
      </c>
      <c r="H33" t="s">
        <v>18</v>
      </c>
      <c r="I33">
        <v>15</v>
      </c>
      <c r="J33" s="10"/>
      <c r="L33" s="29">
        <v>45665</v>
      </c>
      <c r="M33" s="26">
        <v>7</v>
      </c>
      <c r="N33" s="26">
        <v>11</v>
      </c>
      <c r="O33" s="26">
        <v>0</v>
      </c>
      <c r="P33" s="26">
        <f>SUM(M33:N33)</f>
        <v>18</v>
      </c>
      <c r="Q33" s="26">
        <v>17</v>
      </c>
      <c r="R33" s="26">
        <v>15</v>
      </c>
      <c r="S33" s="26">
        <v>3</v>
      </c>
      <c r="T33" s="26">
        <v>9</v>
      </c>
      <c r="U33" s="26">
        <v>6</v>
      </c>
      <c r="V33" s="26">
        <v>8</v>
      </c>
      <c r="W33" s="26">
        <v>0</v>
      </c>
      <c r="X33" s="26">
        <f>SUM(T33:W33)</f>
        <v>23</v>
      </c>
      <c r="Z33" s="32">
        <v>45665</v>
      </c>
      <c r="AA33" s="15">
        <v>23</v>
      </c>
      <c r="AB33" s="15">
        <v>8</v>
      </c>
      <c r="AC33" s="15">
        <v>9</v>
      </c>
      <c r="AD33" s="15">
        <v>6</v>
      </c>
      <c r="AE33" s="15">
        <v>0</v>
      </c>
      <c r="AF33" s="19">
        <f t="shared" ref="AF33:AF49" si="8">SUM(AB33:AE33)</f>
        <v>23</v>
      </c>
    </row>
    <row r="34" spans="2:32" ht="17" thickBot="1" x14ac:dyDescent="0.25">
      <c r="B34" s="11">
        <v>31</v>
      </c>
      <c r="C34" s="12">
        <v>44937</v>
      </c>
      <c r="D34" s="13" t="s">
        <v>5</v>
      </c>
      <c r="E34" s="13"/>
      <c r="F34" s="13">
        <v>79.2</v>
      </c>
      <c r="G34" s="13"/>
      <c r="H34" s="13"/>
      <c r="I34" s="13"/>
      <c r="J34" s="14" t="s">
        <v>39</v>
      </c>
      <c r="L34" s="29">
        <v>45679</v>
      </c>
      <c r="M34" s="26">
        <v>2</v>
      </c>
      <c r="N34" s="26">
        <v>5</v>
      </c>
      <c r="O34" s="26">
        <v>0</v>
      </c>
      <c r="P34" s="26">
        <f t="shared" ref="P34:P38" si="9">SUM(M34:N34)</f>
        <v>7</v>
      </c>
      <c r="Q34" s="26">
        <v>6</v>
      </c>
      <c r="R34" s="26">
        <v>5</v>
      </c>
      <c r="S34" s="26">
        <v>2</v>
      </c>
      <c r="T34" s="26">
        <v>4</v>
      </c>
      <c r="U34" s="26">
        <v>2</v>
      </c>
      <c r="V34" s="26">
        <v>5</v>
      </c>
      <c r="W34" s="26">
        <v>0</v>
      </c>
      <c r="X34" s="26">
        <f t="shared" ref="X34:X57" si="10">SUM(T34:W34)</f>
        <v>11</v>
      </c>
      <c r="Z34" s="32">
        <v>45679</v>
      </c>
      <c r="AA34" s="15">
        <v>11</v>
      </c>
      <c r="AB34" s="15">
        <v>5</v>
      </c>
      <c r="AC34" s="15">
        <v>4</v>
      </c>
      <c r="AD34" s="15">
        <v>2</v>
      </c>
      <c r="AE34" s="15">
        <v>0</v>
      </c>
      <c r="AF34" s="19">
        <f t="shared" si="8"/>
        <v>11</v>
      </c>
    </row>
    <row r="35" spans="2:32" x14ac:dyDescent="0.2">
      <c r="B35" s="5">
        <v>32</v>
      </c>
      <c r="C35" s="6">
        <v>44944</v>
      </c>
      <c r="D35" s="7" t="s">
        <v>7</v>
      </c>
      <c r="E35" s="7">
        <v>70.5</v>
      </c>
      <c r="F35" s="7">
        <v>62.9</v>
      </c>
      <c r="G35" s="7">
        <v>0.19</v>
      </c>
      <c r="H35" s="7"/>
      <c r="I35" s="7">
        <v>14</v>
      </c>
      <c r="J35" s="8"/>
      <c r="L35" s="29">
        <v>45693</v>
      </c>
      <c r="M35" s="26">
        <v>0</v>
      </c>
      <c r="N35" s="26">
        <v>7</v>
      </c>
      <c r="O35" s="26">
        <v>0</v>
      </c>
      <c r="P35" s="26">
        <f t="shared" si="9"/>
        <v>7</v>
      </c>
      <c r="Q35" s="26">
        <v>6</v>
      </c>
      <c r="R35" s="26">
        <v>6</v>
      </c>
      <c r="S35" s="26">
        <v>1</v>
      </c>
      <c r="T35" s="26">
        <v>4</v>
      </c>
      <c r="U35" s="26">
        <v>2</v>
      </c>
      <c r="V35" s="26">
        <v>10</v>
      </c>
      <c r="W35" s="26">
        <v>1</v>
      </c>
      <c r="X35" s="26">
        <f t="shared" si="10"/>
        <v>17</v>
      </c>
      <c r="Z35" s="32">
        <v>45693</v>
      </c>
      <c r="AA35" s="15">
        <v>17</v>
      </c>
      <c r="AB35" s="15">
        <v>10</v>
      </c>
      <c r="AC35" s="15">
        <v>4</v>
      </c>
      <c r="AD35" s="15">
        <v>2</v>
      </c>
      <c r="AE35" s="15">
        <v>1</v>
      </c>
      <c r="AF35" s="19">
        <f t="shared" si="8"/>
        <v>17</v>
      </c>
    </row>
    <row r="36" spans="2:32" x14ac:dyDescent="0.2">
      <c r="B36" s="9">
        <v>33</v>
      </c>
      <c r="C36" s="1">
        <v>44944</v>
      </c>
      <c r="D36" t="s">
        <v>6</v>
      </c>
      <c r="E36">
        <v>14.2</v>
      </c>
      <c r="F36">
        <v>12.9</v>
      </c>
      <c r="H36" t="s">
        <v>38</v>
      </c>
      <c r="J36" s="10"/>
      <c r="L36" s="29">
        <v>45721</v>
      </c>
      <c r="M36" s="26">
        <v>2</v>
      </c>
      <c r="N36" s="26">
        <v>7</v>
      </c>
      <c r="O36" s="26">
        <v>0</v>
      </c>
      <c r="P36" s="26">
        <f t="shared" si="9"/>
        <v>9</v>
      </c>
      <c r="Q36" s="26">
        <v>9</v>
      </c>
      <c r="R36" s="26">
        <v>6</v>
      </c>
      <c r="S36" s="26">
        <v>3</v>
      </c>
      <c r="T36" s="26">
        <v>8</v>
      </c>
      <c r="U36" s="26">
        <v>4</v>
      </c>
      <c r="V36" s="26">
        <v>2</v>
      </c>
      <c r="W36" s="26">
        <v>0</v>
      </c>
      <c r="X36" s="26">
        <f t="shared" si="10"/>
        <v>14</v>
      </c>
      <c r="Z36" s="32">
        <v>45721</v>
      </c>
      <c r="AA36" s="15">
        <v>14</v>
      </c>
      <c r="AB36" s="15">
        <v>2</v>
      </c>
      <c r="AC36" s="15">
        <v>8</v>
      </c>
      <c r="AD36" s="15">
        <v>4</v>
      </c>
      <c r="AE36" s="15">
        <v>0</v>
      </c>
      <c r="AF36" s="19">
        <f t="shared" si="8"/>
        <v>14</v>
      </c>
    </row>
    <row r="37" spans="2:32" x14ac:dyDescent="0.2">
      <c r="B37" s="9">
        <v>34</v>
      </c>
      <c r="C37" s="1">
        <v>44944</v>
      </c>
      <c r="D37" t="s">
        <v>7</v>
      </c>
      <c r="E37">
        <v>40.6</v>
      </c>
      <c r="F37">
        <v>36.200000000000003</v>
      </c>
      <c r="G37">
        <v>0.17</v>
      </c>
      <c r="H37" t="s">
        <v>37</v>
      </c>
      <c r="I37">
        <v>15</v>
      </c>
      <c r="J37" s="10"/>
      <c r="L37" s="29">
        <v>45735</v>
      </c>
      <c r="M37" s="26">
        <v>3</v>
      </c>
      <c r="N37" s="26">
        <v>7</v>
      </c>
      <c r="O37" s="26">
        <v>0</v>
      </c>
      <c r="P37" s="26">
        <f t="shared" si="9"/>
        <v>10</v>
      </c>
      <c r="Q37" s="26">
        <v>8</v>
      </c>
      <c r="R37" s="26">
        <v>10</v>
      </c>
      <c r="S37" s="26">
        <v>0</v>
      </c>
      <c r="T37" s="26">
        <v>8</v>
      </c>
      <c r="U37" s="26">
        <v>6</v>
      </c>
      <c r="V37" s="26">
        <v>1</v>
      </c>
      <c r="W37" s="26">
        <v>1</v>
      </c>
      <c r="X37" s="26">
        <f t="shared" si="10"/>
        <v>16</v>
      </c>
      <c r="Z37" s="32">
        <v>45735</v>
      </c>
      <c r="AA37" s="15">
        <v>16</v>
      </c>
      <c r="AB37" s="15">
        <v>1</v>
      </c>
      <c r="AC37" s="15">
        <v>8</v>
      </c>
      <c r="AD37" s="15">
        <v>6</v>
      </c>
      <c r="AE37" s="15">
        <v>1</v>
      </c>
      <c r="AF37" s="19">
        <f t="shared" si="8"/>
        <v>16</v>
      </c>
    </row>
    <row r="38" spans="2:32" x14ac:dyDescent="0.2">
      <c r="B38" s="9">
        <v>35</v>
      </c>
      <c r="C38" s="1">
        <v>44944</v>
      </c>
      <c r="D38" t="s">
        <v>7</v>
      </c>
      <c r="E38">
        <v>81.7</v>
      </c>
      <c r="F38">
        <v>72.900000000000006</v>
      </c>
      <c r="G38">
        <v>0.19</v>
      </c>
      <c r="I38">
        <v>10</v>
      </c>
      <c r="J38" s="10"/>
      <c r="L38" s="29">
        <v>45749</v>
      </c>
      <c r="M38" s="26">
        <v>1</v>
      </c>
      <c r="N38" s="26">
        <v>6</v>
      </c>
      <c r="O38" s="26">
        <v>0</v>
      </c>
      <c r="P38" s="26">
        <f t="shared" si="9"/>
        <v>7</v>
      </c>
      <c r="Q38" s="26">
        <v>7</v>
      </c>
      <c r="R38" s="26">
        <v>6</v>
      </c>
      <c r="S38" s="26">
        <v>1</v>
      </c>
      <c r="T38" s="26">
        <v>7</v>
      </c>
      <c r="U38" s="26">
        <v>3</v>
      </c>
      <c r="V38" s="26">
        <v>0</v>
      </c>
      <c r="W38" s="26">
        <v>1</v>
      </c>
      <c r="X38" s="26">
        <f t="shared" si="10"/>
        <v>11</v>
      </c>
      <c r="Z38" s="32">
        <v>45749</v>
      </c>
      <c r="AA38" s="15">
        <v>11</v>
      </c>
      <c r="AB38" s="15">
        <v>0</v>
      </c>
      <c r="AC38" s="15">
        <v>7</v>
      </c>
      <c r="AD38" s="15">
        <v>3</v>
      </c>
      <c r="AE38" s="15">
        <v>1</v>
      </c>
      <c r="AF38" s="19">
        <f t="shared" si="8"/>
        <v>11</v>
      </c>
    </row>
    <row r="39" spans="2:32" x14ac:dyDescent="0.2">
      <c r="B39" s="9">
        <v>36</v>
      </c>
      <c r="C39" s="1">
        <v>44944</v>
      </c>
      <c r="D39" t="s">
        <v>6</v>
      </c>
      <c r="E39">
        <v>20.3</v>
      </c>
      <c r="F39">
        <v>18.5</v>
      </c>
      <c r="G39">
        <v>0.2</v>
      </c>
      <c r="H39" t="s">
        <v>38</v>
      </c>
      <c r="I39">
        <v>20</v>
      </c>
      <c r="J39" s="10"/>
      <c r="L39" s="29">
        <v>45763</v>
      </c>
      <c r="M39" s="26">
        <v>5</v>
      </c>
      <c r="N39" s="26">
        <v>10</v>
      </c>
      <c r="O39" s="26">
        <v>0</v>
      </c>
      <c r="P39" s="26">
        <v>15</v>
      </c>
      <c r="Q39" s="26">
        <v>13</v>
      </c>
      <c r="R39" s="26">
        <v>13</v>
      </c>
      <c r="S39" s="26">
        <v>2</v>
      </c>
      <c r="T39" s="26">
        <v>9</v>
      </c>
      <c r="U39" s="26">
        <v>3</v>
      </c>
      <c r="V39" s="26">
        <v>2</v>
      </c>
      <c r="W39" s="26">
        <v>6</v>
      </c>
      <c r="X39" s="26">
        <f>SUM(T39:W39)</f>
        <v>20</v>
      </c>
      <c r="Z39" s="32">
        <v>45763</v>
      </c>
      <c r="AA39" s="15">
        <v>20</v>
      </c>
      <c r="AB39" s="15">
        <v>2</v>
      </c>
      <c r="AC39" s="15">
        <v>9</v>
      </c>
      <c r="AD39" s="15">
        <v>3</v>
      </c>
      <c r="AE39" s="15">
        <v>6</v>
      </c>
      <c r="AF39" s="19">
        <f t="shared" si="8"/>
        <v>20</v>
      </c>
    </row>
    <row r="40" spans="2:32" ht="17" thickBot="1" x14ac:dyDescent="0.25">
      <c r="B40" s="11">
        <v>37</v>
      </c>
      <c r="C40" s="12">
        <v>44944</v>
      </c>
      <c r="D40" s="13" t="s">
        <v>6</v>
      </c>
      <c r="E40" s="13">
        <v>18.2</v>
      </c>
      <c r="F40" s="13">
        <v>16.600000000000001</v>
      </c>
      <c r="G40" s="13">
        <v>0.18</v>
      </c>
      <c r="H40" s="13" t="s">
        <v>38</v>
      </c>
      <c r="I40" s="13">
        <v>15</v>
      </c>
      <c r="J40" s="14"/>
      <c r="L40" s="29">
        <v>45777</v>
      </c>
      <c r="M40" s="26">
        <v>2</v>
      </c>
      <c r="N40" s="26">
        <v>11</v>
      </c>
      <c r="O40" s="26">
        <v>0</v>
      </c>
      <c r="P40" s="26">
        <v>13</v>
      </c>
      <c r="Q40" s="26">
        <v>10</v>
      </c>
      <c r="R40" s="26">
        <v>11</v>
      </c>
      <c r="S40" s="26">
        <v>2</v>
      </c>
      <c r="T40" s="26">
        <v>7</v>
      </c>
      <c r="U40" s="26">
        <v>4</v>
      </c>
      <c r="V40" s="26">
        <v>3</v>
      </c>
      <c r="W40" s="26">
        <v>0</v>
      </c>
      <c r="X40" s="26">
        <f t="shared" si="10"/>
        <v>14</v>
      </c>
      <c r="Z40" s="32">
        <v>45777</v>
      </c>
      <c r="AA40" s="15">
        <v>14</v>
      </c>
      <c r="AB40" s="15">
        <v>3</v>
      </c>
      <c r="AC40" s="15">
        <v>7</v>
      </c>
      <c r="AD40" s="15">
        <v>4</v>
      </c>
      <c r="AE40" s="15">
        <v>0</v>
      </c>
      <c r="AF40" s="19">
        <f t="shared" si="8"/>
        <v>14</v>
      </c>
    </row>
    <row r="41" spans="2:32" x14ac:dyDescent="0.2">
      <c r="B41" s="5">
        <v>38</v>
      </c>
      <c r="C41" s="6">
        <v>44953</v>
      </c>
      <c r="D41" s="7" t="s">
        <v>7</v>
      </c>
      <c r="E41" s="7">
        <v>58.1</v>
      </c>
      <c r="F41" s="7">
        <v>51.9</v>
      </c>
      <c r="G41" s="7">
        <v>0.22</v>
      </c>
      <c r="H41" s="7" t="s">
        <v>37</v>
      </c>
      <c r="I41" s="7">
        <v>15</v>
      </c>
      <c r="J41" s="8"/>
      <c r="L41" s="29">
        <v>45791</v>
      </c>
      <c r="M41" s="26">
        <v>4</v>
      </c>
      <c r="N41" s="26">
        <v>4</v>
      </c>
      <c r="O41" s="26">
        <v>0</v>
      </c>
      <c r="P41" s="26">
        <v>8</v>
      </c>
      <c r="Q41" s="26">
        <v>8</v>
      </c>
      <c r="R41" s="26">
        <v>8</v>
      </c>
      <c r="S41" s="26">
        <v>0</v>
      </c>
      <c r="T41" s="26">
        <v>7</v>
      </c>
      <c r="U41" s="26">
        <v>3</v>
      </c>
      <c r="V41" s="26">
        <v>1</v>
      </c>
      <c r="W41" s="26">
        <v>0</v>
      </c>
      <c r="X41" s="26">
        <f t="shared" si="10"/>
        <v>11</v>
      </c>
      <c r="Z41" s="32">
        <v>45791</v>
      </c>
      <c r="AA41" s="15">
        <v>11</v>
      </c>
      <c r="AB41" s="15">
        <v>1</v>
      </c>
      <c r="AC41" s="15">
        <v>7</v>
      </c>
      <c r="AD41" s="15">
        <v>3</v>
      </c>
      <c r="AE41" s="15">
        <v>0</v>
      </c>
      <c r="AF41" s="19">
        <f t="shared" si="8"/>
        <v>11</v>
      </c>
    </row>
    <row r="42" spans="2:32" x14ac:dyDescent="0.2">
      <c r="B42" s="9">
        <v>39</v>
      </c>
      <c r="C42" s="1">
        <v>44953</v>
      </c>
      <c r="D42" t="s">
        <v>7</v>
      </c>
      <c r="E42">
        <v>65.400000000000006</v>
      </c>
      <c r="F42">
        <v>58.4</v>
      </c>
      <c r="G42">
        <v>0.21</v>
      </c>
      <c r="I42">
        <v>12</v>
      </c>
      <c r="J42" s="10"/>
      <c r="L42" s="29">
        <v>45805</v>
      </c>
      <c r="M42" s="26">
        <v>3</v>
      </c>
      <c r="N42" s="26">
        <v>7</v>
      </c>
      <c r="O42" s="26">
        <v>0</v>
      </c>
      <c r="P42" s="26">
        <v>10</v>
      </c>
      <c r="Q42" s="26">
        <v>10</v>
      </c>
      <c r="R42" s="26">
        <v>10</v>
      </c>
      <c r="S42" s="26">
        <v>0</v>
      </c>
      <c r="T42" s="26">
        <v>8</v>
      </c>
      <c r="U42" s="26">
        <v>5</v>
      </c>
      <c r="V42" s="26">
        <v>1</v>
      </c>
      <c r="W42" s="26">
        <v>0</v>
      </c>
      <c r="X42" s="26">
        <f t="shared" si="10"/>
        <v>14</v>
      </c>
      <c r="Z42" s="32">
        <v>45805</v>
      </c>
      <c r="AA42" s="15">
        <v>14</v>
      </c>
      <c r="AB42" s="15">
        <v>1</v>
      </c>
      <c r="AC42" s="15">
        <v>8</v>
      </c>
      <c r="AD42" s="15">
        <v>5</v>
      </c>
      <c r="AE42" s="15">
        <v>0</v>
      </c>
      <c r="AF42" s="19">
        <f t="shared" si="8"/>
        <v>14</v>
      </c>
    </row>
    <row r="43" spans="2:32" x14ac:dyDescent="0.2">
      <c r="B43" s="9">
        <v>40</v>
      </c>
      <c r="C43" s="1">
        <v>44953</v>
      </c>
      <c r="D43" t="s">
        <v>7</v>
      </c>
      <c r="E43">
        <v>39.799999999999997</v>
      </c>
      <c r="F43">
        <v>35.5</v>
      </c>
      <c r="G43">
        <v>0.15</v>
      </c>
      <c r="H43" t="s">
        <v>18</v>
      </c>
      <c r="I43">
        <v>10</v>
      </c>
      <c r="J43" s="10"/>
      <c r="L43" s="29">
        <v>45819</v>
      </c>
      <c r="M43" s="26">
        <v>0</v>
      </c>
      <c r="N43" s="26">
        <v>3</v>
      </c>
      <c r="O43" s="26">
        <v>0</v>
      </c>
      <c r="P43" s="26">
        <v>3</v>
      </c>
      <c r="Q43" s="26">
        <v>3</v>
      </c>
      <c r="R43" s="26">
        <v>2</v>
      </c>
      <c r="S43" s="26">
        <v>1</v>
      </c>
      <c r="T43" s="26">
        <v>2</v>
      </c>
      <c r="U43" s="26">
        <v>1</v>
      </c>
      <c r="V43" s="26">
        <v>1</v>
      </c>
      <c r="W43" s="26">
        <v>2</v>
      </c>
      <c r="X43" s="26">
        <f t="shared" si="10"/>
        <v>6</v>
      </c>
      <c r="Z43" s="32">
        <v>45819</v>
      </c>
      <c r="AA43" s="15">
        <v>6</v>
      </c>
      <c r="AB43" s="15">
        <v>1</v>
      </c>
      <c r="AC43" s="15">
        <v>2</v>
      </c>
      <c r="AD43" s="15">
        <v>1</v>
      </c>
      <c r="AE43" s="15">
        <v>2</v>
      </c>
      <c r="AF43" s="19">
        <f t="shared" si="8"/>
        <v>6</v>
      </c>
    </row>
    <row r="44" spans="2:32" x14ac:dyDescent="0.2">
      <c r="B44" s="9">
        <v>41</v>
      </c>
      <c r="C44" s="1">
        <v>44953</v>
      </c>
      <c r="D44" t="s">
        <v>7</v>
      </c>
      <c r="E44">
        <v>66.3</v>
      </c>
      <c r="F44">
        <v>59.2</v>
      </c>
      <c r="G44">
        <v>0.18</v>
      </c>
      <c r="I44">
        <v>15</v>
      </c>
      <c r="J44" s="10"/>
      <c r="L44" s="29">
        <v>45834</v>
      </c>
      <c r="M44" s="26">
        <v>5</v>
      </c>
      <c r="N44" s="26">
        <v>5</v>
      </c>
      <c r="O44" s="26">
        <v>0</v>
      </c>
      <c r="P44" s="26">
        <v>10</v>
      </c>
      <c r="Q44" s="26">
        <v>9</v>
      </c>
      <c r="R44" s="26">
        <v>8</v>
      </c>
      <c r="S44" s="26">
        <v>2</v>
      </c>
      <c r="T44" s="26">
        <v>7</v>
      </c>
      <c r="U44" s="26">
        <v>3</v>
      </c>
      <c r="V44" s="26">
        <v>2</v>
      </c>
      <c r="W44" s="26">
        <v>0</v>
      </c>
      <c r="X44" s="26">
        <f t="shared" si="10"/>
        <v>12</v>
      </c>
      <c r="Z44" s="32">
        <v>45834</v>
      </c>
      <c r="AA44" s="15">
        <v>12</v>
      </c>
      <c r="AB44" s="15">
        <v>2</v>
      </c>
      <c r="AC44" s="15">
        <v>7</v>
      </c>
      <c r="AD44" s="15">
        <v>3</v>
      </c>
      <c r="AE44" s="15">
        <v>0</v>
      </c>
      <c r="AF44" s="19">
        <f t="shared" si="8"/>
        <v>12</v>
      </c>
    </row>
    <row r="45" spans="2:32" ht="17" thickBot="1" x14ac:dyDescent="0.25">
      <c r="B45" s="11">
        <v>42</v>
      </c>
      <c r="C45" s="12">
        <v>44953</v>
      </c>
      <c r="D45" s="13" t="s">
        <v>7</v>
      </c>
      <c r="E45" s="13">
        <v>68</v>
      </c>
      <c r="F45" s="13">
        <v>60.7</v>
      </c>
      <c r="G45" s="13">
        <v>0.18</v>
      </c>
      <c r="H45" s="13"/>
      <c r="I45" s="13">
        <v>20</v>
      </c>
      <c r="J45" s="14"/>
      <c r="L45" s="29">
        <v>45847</v>
      </c>
      <c r="M45" s="26">
        <v>6</v>
      </c>
      <c r="N45" s="26">
        <v>7</v>
      </c>
      <c r="O45" s="26">
        <v>0</v>
      </c>
      <c r="P45" s="26">
        <v>13</v>
      </c>
      <c r="Q45" s="26">
        <v>11</v>
      </c>
      <c r="R45" s="26">
        <v>11</v>
      </c>
      <c r="S45" s="26">
        <v>2</v>
      </c>
      <c r="T45" s="26">
        <v>9</v>
      </c>
      <c r="U45" s="26">
        <v>2</v>
      </c>
      <c r="V45" s="26">
        <v>3</v>
      </c>
      <c r="W45" s="26">
        <v>3</v>
      </c>
      <c r="X45" s="26">
        <f t="shared" si="10"/>
        <v>17</v>
      </c>
      <c r="Z45" s="32">
        <v>45847</v>
      </c>
      <c r="AA45" s="15">
        <v>17</v>
      </c>
      <c r="AB45" s="15">
        <v>3</v>
      </c>
      <c r="AC45" s="15">
        <v>9</v>
      </c>
      <c r="AD45" s="15">
        <v>2</v>
      </c>
      <c r="AE45" s="15">
        <v>3</v>
      </c>
      <c r="AF45" s="19">
        <f t="shared" si="8"/>
        <v>17</v>
      </c>
    </row>
    <row r="46" spans="2:32" x14ac:dyDescent="0.2">
      <c r="B46" s="5">
        <v>43</v>
      </c>
      <c r="C46" s="6">
        <v>44958</v>
      </c>
      <c r="D46" s="7" t="s">
        <v>7</v>
      </c>
      <c r="E46" s="7">
        <v>73.400000000000006</v>
      </c>
      <c r="F46" s="7">
        <v>65.5</v>
      </c>
      <c r="G46" s="7">
        <v>0.19</v>
      </c>
      <c r="H46" s="7"/>
      <c r="I46" s="7">
        <v>15</v>
      </c>
      <c r="J46" s="8"/>
      <c r="L46" s="29">
        <v>45861</v>
      </c>
      <c r="M46" s="26">
        <v>2</v>
      </c>
      <c r="N46" s="26">
        <v>4</v>
      </c>
      <c r="O46" s="26">
        <v>0</v>
      </c>
      <c r="P46" s="26">
        <v>6</v>
      </c>
      <c r="Q46" s="26">
        <v>6</v>
      </c>
      <c r="R46" s="26">
        <v>5</v>
      </c>
      <c r="S46" s="26">
        <v>1</v>
      </c>
      <c r="T46" s="26">
        <v>6</v>
      </c>
      <c r="U46" s="26">
        <v>3</v>
      </c>
      <c r="V46" s="26">
        <v>0</v>
      </c>
      <c r="W46" s="26">
        <v>0</v>
      </c>
      <c r="X46" s="26">
        <f t="shared" si="10"/>
        <v>9</v>
      </c>
      <c r="Z46" s="32">
        <v>45861</v>
      </c>
      <c r="AA46" s="15">
        <v>9</v>
      </c>
      <c r="AB46" s="15">
        <v>0</v>
      </c>
      <c r="AC46" s="15">
        <v>6</v>
      </c>
      <c r="AD46" s="15">
        <v>3</v>
      </c>
      <c r="AE46" s="15">
        <v>0</v>
      </c>
      <c r="AF46" s="19">
        <f t="shared" si="8"/>
        <v>9</v>
      </c>
    </row>
    <row r="47" spans="2:32" x14ac:dyDescent="0.2">
      <c r="B47" s="9">
        <v>44</v>
      </c>
      <c r="C47" s="1">
        <v>44958</v>
      </c>
      <c r="D47" t="s">
        <v>7</v>
      </c>
      <c r="E47">
        <v>68.7</v>
      </c>
      <c r="F47">
        <v>61.3</v>
      </c>
      <c r="G47">
        <v>0.18</v>
      </c>
      <c r="H47" t="s">
        <v>18</v>
      </c>
      <c r="I47">
        <v>15</v>
      </c>
      <c r="J47" s="10"/>
      <c r="L47" s="29">
        <v>45889</v>
      </c>
      <c r="M47" s="26">
        <v>2</v>
      </c>
      <c r="N47" s="26">
        <v>3</v>
      </c>
      <c r="O47" s="26">
        <v>0</v>
      </c>
      <c r="P47" s="26">
        <v>5</v>
      </c>
      <c r="Q47" s="26">
        <v>5</v>
      </c>
      <c r="R47" s="26">
        <v>5</v>
      </c>
      <c r="S47" s="26">
        <v>0</v>
      </c>
      <c r="T47" s="26">
        <v>2</v>
      </c>
      <c r="U47" s="26">
        <v>1</v>
      </c>
      <c r="V47" s="26">
        <v>4</v>
      </c>
      <c r="W47" s="26">
        <v>0</v>
      </c>
      <c r="X47" s="26">
        <f t="shared" si="10"/>
        <v>7</v>
      </c>
      <c r="Z47" s="32">
        <v>45889</v>
      </c>
      <c r="AA47" s="15">
        <v>7</v>
      </c>
      <c r="AB47" s="15">
        <v>4</v>
      </c>
      <c r="AC47" s="15">
        <v>2</v>
      </c>
      <c r="AD47" s="15">
        <v>1</v>
      </c>
      <c r="AE47" s="15">
        <v>0</v>
      </c>
      <c r="AF47" s="19">
        <f t="shared" si="8"/>
        <v>7</v>
      </c>
    </row>
    <row r="48" spans="2:32" x14ac:dyDescent="0.2">
      <c r="B48" s="9">
        <v>45</v>
      </c>
      <c r="C48" s="1">
        <v>44958</v>
      </c>
      <c r="D48" t="s">
        <v>7</v>
      </c>
      <c r="E48">
        <v>71.599999999999994</v>
      </c>
      <c r="F48">
        <v>63.9</v>
      </c>
      <c r="G48">
        <v>0.19</v>
      </c>
      <c r="I48">
        <v>15</v>
      </c>
      <c r="J48" s="10" t="s">
        <v>17</v>
      </c>
      <c r="L48" s="29">
        <v>45903</v>
      </c>
      <c r="M48" s="26">
        <v>2</v>
      </c>
      <c r="N48" s="26">
        <v>4</v>
      </c>
      <c r="O48" s="26">
        <v>0</v>
      </c>
      <c r="P48" s="26">
        <v>6</v>
      </c>
      <c r="Q48" s="26">
        <v>6</v>
      </c>
      <c r="R48" s="26">
        <v>5</v>
      </c>
      <c r="S48" s="26">
        <v>1</v>
      </c>
      <c r="T48" s="26">
        <v>3</v>
      </c>
      <c r="U48" s="26">
        <v>4</v>
      </c>
      <c r="V48" s="26">
        <v>3</v>
      </c>
      <c r="W48" s="26">
        <v>0</v>
      </c>
      <c r="X48" s="26">
        <f t="shared" si="10"/>
        <v>10</v>
      </c>
      <c r="Z48" s="32">
        <v>45903</v>
      </c>
      <c r="AA48" s="15">
        <v>10</v>
      </c>
      <c r="AB48" s="15">
        <v>3</v>
      </c>
      <c r="AC48" s="15">
        <v>3</v>
      </c>
      <c r="AD48" s="15">
        <v>4</v>
      </c>
      <c r="AE48" s="15">
        <v>0</v>
      </c>
      <c r="AF48" s="19">
        <f t="shared" si="8"/>
        <v>10</v>
      </c>
    </row>
    <row r="49" spans="2:37" x14ac:dyDescent="0.2">
      <c r="B49" s="9">
        <v>46</v>
      </c>
      <c r="C49" s="1">
        <v>44958</v>
      </c>
      <c r="D49" t="s">
        <v>6</v>
      </c>
      <c r="E49">
        <v>23.8</v>
      </c>
      <c r="F49">
        <v>21.7</v>
      </c>
      <c r="G49">
        <v>0.2</v>
      </c>
      <c r="H49" t="s">
        <v>15</v>
      </c>
      <c r="I49">
        <v>20</v>
      </c>
      <c r="J49" s="10"/>
      <c r="L49" s="29">
        <v>45917</v>
      </c>
      <c r="M49" s="26">
        <v>2</v>
      </c>
      <c r="N49" s="26">
        <v>6</v>
      </c>
      <c r="O49" s="26">
        <v>0</v>
      </c>
      <c r="P49" s="26">
        <v>8</v>
      </c>
      <c r="Q49" s="26">
        <v>8</v>
      </c>
      <c r="R49" s="26">
        <v>7</v>
      </c>
      <c r="S49" s="26">
        <v>1</v>
      </c>
      <c r="T49" s="26">
        <v>5</v>
      </c>
      <c r="U49" s="26">
        <v>6</v>
      </c>
      <c r="V49" s="26">
        <v>1</v>
      </c>
      <c r="W49" s="26">
        <v>0</v>
      </c>
      <c r="X49" s="26">
        <f t="shared" si="10"/>
        <v>12</v>
      </c>
      <c r="Z49" s="32">
        <v>45917</v>
      </c>
      <c r="AA49" s="15">
        <v>12</v>
      </c>
      <c r="AB49" s="15">
        <v>1</v>
      </c>
      <c r="AC49" s="15">
        <v>5</v>
      </c>
      <c r="AD49" s="15">
        <v>6</v>
      </c>
      <c r="AE49" s="15">
        <v>0</v>
      </c>
      <c r="AF49" s="19">
        <f t="shared" si="8"/>
        <v>12</v>
      </c>
    </row>
    <row r="50" spans="2:37" x14ac:dyDescent="0.2">
      <c r="B50" s="9">
        <v>47</v>
      </c>
      <c r="C50" s="1">
        <v>44958</v>
      </c>
      <c r="D50" t="s">
        <v>7</v>
      </c>
      <c r="E50">
        <v>67.5</v>
      </c>
      <c r="F50">
        <v>60.3</v>
      </c>
      <c r="G50">
        <v>0.25</v>
      </c>
      <c r="J50" s="10"/>
      <c r="L50" s="29">
        <v>45931</v>
      </c>
      <c r="M50" s="26">
        <v>1</v>
      </c>
      <c r="N50" s="26">
        <v>5</v>
      </c>
      <c r="O50" s="26">
        <v>0</v>
      </c>
      <c r="P50" s="26">
        <v>6</v>
      </c>
      <c r="Q50" s="26">
        <v>6</v>
      </c>
      <c r="R50" s="26">
        <v>5</v>
      </c>
      <c r="S50" s="26">
        <v>1</v>
      </c>
      <c r="T50" s="26">
        <v>5</v>
      </c>
      <c r="U50" s="26">
        <v>4</v>
      </c>
      <c r="V50" s="26">
        <v>2</v>
      </c>
      <c r="W50" s="26">
        <v>0</v>
      </c>
      <c r="X50" s="26">
        <f t="shared" si="10"/>
        <v>11</v>
      </c>
      <c r="Z50" s="32">
        <v>45931</v>
      </c>
      <c r="AA50" s="15">
        <v>11</v>
      </c>
      <c r="AB50" s="15">
        <v>2</v>
      </c>
      <c r="AC50" s="15">
        <v>5</v>
      </c>
      <c r="AD50" s="15">
        <v>4</v>
      </c>
      <c r="AE50" s="15">
        <v>0</v>
      </c>
      <c r="AF50" s="19">
        <f t="shared" ref="AF50:AF57" si="11">SUM(AB50:AE50)</f>
        <v>11</v>
      </c>
    </row>
    <row r="51" spans="2:37" x14ac:dyDescent="0.2">
      <c r="B51" s="9">
        <v>48</v>
      </c>
      <c r="C51" s="1">
        <v>44958</v>
      </c>
      <c r="D51" t="s">
        <v>6</v>
      </c>
      <c r="E51">
        <v>19</v>
      </c>
      <c r="F51">
        <v>17.3</v>
      </c>
      <c r="G51">
        <v>0.15</v>
      </c>
      <c r="H51" t="s">
        <v>15</v>
      </c>
      <c r="I51">
        <v>20</v>
      </c>
      <c r="J51" s="10"/>
      <c r="L51" s="29">
        <v>45945</v>
      </c>
      <c r="M51" s="26">
        <v>2</v>
      </c>
      <c r="N51" s="26">
        <v>6</v>
      </c>
      <c r="O51" s="26">
        <v>0</v>
      </c>
      <c r="P51" s="26">
        <v>8</v>
      </c>
      <c r="Q51" s="26">
        <v>6</v>
      </c>
      <c r="R51" s="26">
        <v>6</v>
      </c>
      <c r="S51" s="26">
        <v>2</v>
      </c>
      <c r="T51" s="26">
        <v>6</v>
      </c>
      <c r="U51" s="26">
        <v>4</v>
      </c>
      <c r="V51" s="26">
        <v>3</v>
      </c>
      <c r="W51" s="26">
        <v>0</v>
      </c>
      <c r="X51" s="26">
        <f t="shared" si="10"/>
        <v>13</v>
      </c>
      <c r="Z51" s="32">
        <v>45945</v>
      </c>
      <c r="AA51" s="15">
        <v>13</v>
      </c>
      <c r="AB51" s="15">
        <v>3</v>
      </c>
      <c r="AC51" s="15">
        <v>6</v>
      </c>
      <c r="AD51" s="15">
        <v>4</v>
      </c>
      <c r="AE51" s="15">
        <v>0</v>
      </c>
      <c r="AF51" s="19">
        <f t="shared" si="11"/>
        <v>13</v>
      </c>
    </row>
    <row r="52" spans="2:37" x14ac:dyDescent="0.2">
      <c r="B52" s="9">
        <v>49</v>
      </c>
      <c r="C52" s="1">
        <v>44958</v>
      </c>
      <c r="D52" t="s">
        <v>7</v>
      </c>
      <c r="E52">
        <v>69.3</v>
      </c>
      <c r="F52">
        <v>61.9</v>
      </c>
      <c r="G52">
        <v>0.18</v>
      </c>
      <c r="I52">
        <v>10</v>
      </c>
      <c r="J52" s="10"/>
      <c r="L52" s="29">
        <v>45959</v>
      </c>
      <c r="M52" s="26">
        <v>0</v>
      </c>
      <c r="N52" s="26">
        <v>2</v>
      </c>
      <c r="O52" s="26">
        <v>0</v>
      </c>
      <c r="P52" s="26">
        <v>2</v>
      </c>
      <c r="Q52" s="26">
        <v>2</v>
      </c>
      <c r="R52" s="26">
        <v>1</v>
      </c>
      <c r="S52" s="26">
        <v>1</v>
      </c>
      <c r="T52" s="26">
        <v>1</v>
      </c>
      <c r="U52" s="26">
        <v>1</v>
      </c>
      <c r="V52" s="26">
        <v>2</v>
      </c>
      <c r="W52" s="26">
        <v>0</v>
      </c>
      <c r="X52" s="26">
        <f t="shared" si="10"/>
        <v>4</v>
      </c>
      <c r="Z52" s="32">
        <v>45959</v>
      </c>
      <c r="AA52" s="15">
        <v>4</v>
      </c>
      <c r="AB52" s="15">
        <v>2</v>
      </c>
      <c r="AC52" s="15">
        <v>1</v>
      </c>
      <c r="AD52" s="15">
        <v>1</v>
      </c>
      <c r="AE52" s="15">
        <v>0</v>
      </c>
      <c r="AF52" s="19">
        <f t="shared" si="11"/>
        <v>4</v>
      </c>
    </row>
    <row r="53" spans="2:37" x14ac:dyDescent="0.2">
      <c r="B53" s="9">
        <v>50</v>
      </c>
      <c r="C53" s="1">
        <v>44958</v>
      </c>
      <c r="D53" t="s">
        <v>7</v>
      </c>
      <c r="E53">
        <v>45.7</v>
      </c>
      <c r="F53">
        <v>40.799999999999997</v>
      </c>
      <c r="G53">
        <v>0.16</v>
      </c>
      <c r="H53" t="s">
        <v>18</v>
      </c>
      <c r="I53">
        <v>16.600000000000001</v>
      </c>
      <c r="J53" s="10" t="s">
        <v>145</v>
      </c>
      <c r="L53" s="29">
        <v>45973</v>
      </c>
      <c r="M53" s="26">
        <v>3</v>
      </c>
      <c r="N53" s="26">
        <v>7</v>
      </c>
      <c r="O53" s="26">
        <v>0</v>
      </c>
      <c r="P53" s="26">
        <v>10</v>
      </c>
      <c r="Q53" s="26">
        <v>8</v>
      </c>
      <c r="R53" s="26">
        <v>7</v>
      </c>
      <c r="S53" s="26">
        <v>3</v>
      </c>
      <c r="T53" s="26">
        <v>3</v>
      </c>
      <c r="U53" s="26">
        <v>2</v>
      </c>
      <c r="V53" s="26">
        <v>3</v>
      </c>
      <c r="W53" s="26">
        <v>5</v>
      </c>
      <c r="X53" s="26">
        <f t="shared" si="10"/>
        <v>13</v>
      </c>
      <c r="Z53" s="32">
        <v>45973</v>
      </c>
      <c r="AA53" s="15">
        <v>13</v>
      </c>
      <c r="AB53" s="15">
        <v>3</v>
      </c>
      <c r="AC53" s="15">
        <v>3</v>
      </c>
      <c r="AD53" s="15">
        <v>2</v>
      </c>
      <c r="AE53" s="15">
        <v>5</v>
      </c>
      <c r="AF53" s="19">
        <f t="shared" si="11"/>
        <v>13</v>
      </c>
    </row>
    <row r="54" spans="2:37" x14ac:dyDescent="0.2">
      <c r="B54" s="9">
        <v>51</v>
      </c>
      <c r="C54" s="1">
        <v>44958</v>
      </c>
      <c r="D54" t="s">
        <v>5</v>
      </c>
      <c r="F54">
        <v>69.099999999999994</v>
      </c>
      <c r="J54" s="10" t="s">
        <v>68</v>
      </c>
      <c r="L54" s="29">
        <v>45987</v>
      </c>
      <c r="M54" s="26">
        <v>0</v>
      </c>
      <c r="N54" s="26">
        <v>9</v>
      </c>
      <c r="O54" s="26">
        <v>0</v>
      </c>
      <c r="P54" s="26">
        <v>9</v>
      </c>
      <c r="Q54" s="26">
        <v>9</v>
      </c>
      <c r="R54" s="26">
        <v>8</v>
      </c>
      <c r="S54" s="26">
        <v>1</v>
      </c>
      <c r="T54" s="26">
        <v>9</v>
      </c>
      <c r="U54" s="26">
        <v>4</v>
      </c>
      <c r="V54" s="26">
        <v>5</v>
      </c>
      <c r="W54" s="26">
        <v>0</v>
      </c>
      <c r="X54" s="26">
        <f t="shared" si="10"/>
        <v>18</v>
      </c>
      <c r="Z54" s="32">
        <v>45987</v>
      </c>
      <c r="AA54" s="15">
        <v>18</v>
      </c>
      <c r="AB54" s="15">
        <v>5</v>
      </c>
      <c r="AC54" s="15">
        <v>9</v>
      </c>
      <c r="AD54" s="15">
        <v>4</v>
      </c>
      <c r="AE54" s="15">
        <v>0</v>
      </c>
      <c r="AF54" s="19">
        <f t="shared" si="11"/>
        <v>18</v>
      </c>
    </row>
    <row r="55" spans="2:37" x14ac:dyDescent="0.2">
      <c r="B55" s="9">
        <v>52</v>
      </c>
      <c r="C55" s="1">
        <v>44958</v>
      </c>
      <c r="D55" t="s">
        <v>7</v>
      </c>
      <c r="E55">
        <v>74.5</v>
      </c>
      <c r="F55">
        <v>66.5</v>
      </c>
      <c r="G55">
        <v>0.17</v>
      </c>
      <c r="I55">
        <v>10</v>
      </c>
      <c r="J55" s="10"/>
      <c r="L55" s="29">
        <v>46043</v>
      </c>
      <c r="M55" s="26">
        <v>2</v>
      </c>
      <c r="N55" s="26">
        <v>4</v>
      </c>
      <c r="O55" s="26">
        <v>0</v>
      </c>
      <c r="P55" s="26">
        <v>6</v>
      </c>
      <c r="Q55" s="26">
        <v>6</v>
      </c>
      <c r="R55" s="26">
        <v>5</v>
      </c>
      <c r="S55" s="26">
        <v>1</v>
      </c>
      <c r="T55" s="26">
        <v>5</v>
      </c>
      <c r="U55" s="26">
        <v>5</v>
      </c>
      <c r="V55" s="26">
        <v>2</v>
      </c>
      <c r="W55" s="26">
        <v>1</v>
      </c>
      <c r="X55" s="26">
        <f t="shared" si="10"/>
        <v>13</v>
      </c>
      <c r="Z55" s="32">
        <v>46043</v>
      </c>
      <c r="AA55" s="15">
        <v>13</v>
      </c>
      <c r="AB55" s="15">
        <v>2</v>
      </c>
      <c r="AC55" s="15">
        <v>5</v>
      </c>
      <c r="AD55" s="15">
        <v>5</v>
      </c>
      <c r="AE55" s="15">
        <v>1</v>
      </c>
      <c r="AF55" s="19">
        <f t="shared" si="11"/>
        <v>13</v>
      </c>
    </row>
    <row r="56" spans="2:37" x14ac:dyDescent="0.2">
      <c r="B56" s="9">
        <v>53</v>
      </c>
      <c r="C56" s="1">
        <v>44958</v>
      </c>
      <c r="D56" t="s">
        <v>6</v>
      </c>
      <c r="E56">
        <v>20.8</v>
      </c>
      <c r="F56">
        <v>18.899999999999999</v>
      </c>
      <c r="G56">
        <v>0.18</v>
      </c>
      <c r="H56" t="s">
        <v>15</v>
      </c>
      <c r="I56">
        <v>20</v>
      </c>
      <c r="J56" s="10"/>
      <c r="L56" s="29">
        <v>46057</v>
      </c>
      <c r="M56" s="26">
        <v>1</v>
      </c>
      <c r="N56" s="26">
        <v>6</v>
      </c>
      <c r="O56" s="26">
        <v>0</v>
      </c>
      <c r="P56" s="26">
        <v>7</v>
      </c>
      <c r="Q56" s="26">
        <v>7</v>
      </c>
      <c r="R56" s="26">
        <v>4</v>
      </c>
      <c r="S56" s="26">
        <v>3</v>
      </c>
      <c r="T56" s="26">
        <v>5</v>
      </c>
      <c r="U56" s="26">
        <v>3</v>
      </c>
      <c r="V56" s="26">
        <v>2</v>
      </c>
      <c r="W56" s="26">
        <v>0</v>
      </c>
      <c r="X56" s="26">
        <f t="shared" si="10"/>
        <v>10</v>
      </c>
      <c r="Z56" s="32">
        <v>46057</v>
      </c>
      <c r="AA56" s="15">
        <v>10</v>
      </c>
      <c r="AB56" s="15">
        <v>2</v>
      </c>
      <c r="AC56" s="15">
        <v>5</v>
      </c>
      <c r="AD56" s="15">
        <v>3</v>
      </c>
      <c r="AE56" s="15">
        <v>0</v>
      </c>
      <c r="AF56" s="19">
        <f t="shared" si="11"/>
        <v>10</v>
      </c>
    </row>
    <row r="57" spans="2:37" ht="17" thickBot="1" x14ac:dyDescent="0.25">
      <c r="B57" s="11">
        <v>54</v>
      </c>
      <c r="C57" s="12">
        <v>44958</v>
      </c>
      <c r="D57" s="13" t="s">
        <v>7</v>
      </c>
      <c r="E57" s="13">
        <v>71</v>
      </c>
      <c r="F57" s="13">
        <v>63.4</v>
      </c>
      <c r="G57" s="13"/>
      <c r="H57" s="13"/>
      <c r="I57" s="13"/>
      <c r="J57" s="14"/>
      <c r="L57" s="29">
        <v>46085</v>
      </c>
      <c r="M57" s="26">
        <v>0</v>
      </c>
      <c r="N57" s="26">
        <v>7</v>
      </c>
      <c r="O57" s="26">
        <v>0</v>
      </c>
      <c r="P57" s="26">
        <v>7</v>
      </c>
      <c r="Q57" s="26">
        <v>6</v>
      </c>
      <c r="R57" s="26">
        <v>6</v>
      </c>
      <c r="S57" s="26">
        <v>0</v>
      </c>
      <c r="T57" s="26">
        <v>6</v>
      </c>
      <c r="U57" s="26">
        <v>5</v>
      </c>
      <c r="V57" s="26">
        <v>1</v>
      </c>
      <c r="W57" s="26">
        <v>0</v>
      </c>
      <c r="X57" s="26">
        <f t="shared" si="10"/>
        <v>12</v>
      </c>
      <c r="Z57" s="32">
        <v>46085</v>
      </c>
      <c r="AA57" s="15">
        <v>12</v>
      </c>
      <c r="AB57" s="15">
        <v>1</v>
      </c>
      <c r="AC57" s="15">
        <v>6</v>
      </c>
      <c r="AD57" s="15">
        <v>5</v>
      </c>
      <c r="AE57" s="15">
        <v>0</v>
      </c>
      <c r="AF57" s="19">
        <f t="shared" si="11"/>
        <v>12</v>
      </c>
    </row>
    <row r="58" spans="2:37" x14ac:dyDescent="0.2">
      <c r="B58" s="5">
        <v>55</v>
      </c>
      <c r="C58" s="6">
        <v>44979</v>
      </c>
      <c r="D58" s="7" t="s">
        <v>7</v>
      </c>
      <c r="E58" s="7">
        <v>62.9</v>
      </c>
      <c r="F58" s="7">
        <v>56.2</v>
      </c>
      <c r="G58" s="7">
        <v>0.12</v>
      </c>
      <c r="H58" s="7"/>
      <c r="I58" s="7">
        <v>13.3</v>
      </c>
      <c r="J58" s="8" t="s">
        <v>146</v>
      </c>
      <c r="L58" s="29">
        <v>46099</v>
      </c>
      <c r="M58" s="26">
        <v>1</v>
      </c>
      <c r="N58" s="26">
        <v>8</v>
      </c>
      <c r="O58" s="26">
        <v>0</v>
      </c>
      <c r="P58" s="26">
        <v>9</v>
      </c>
      <c r="Q58" s="26">
        <v>9</v>
      </c>
      <c r="R58" s="26">
        <v>7</v>
      </c>
      <c r="S58" s="26">
        <v>2</v>
      </c>
      <c r="T58" s="26">
        <v>8</v>
      </c>
      <c r="U58" s="26">
        <v>2</v>
      </c>
      <c r="V58" s="26">
        <v>1</v>
      </c>
      <c r="W58" s="26">
        <v>0</v>
      </c>
      <c r="X58" s="26">
        <f t="shared" ref="X58:X67" si="12">SUM(T58:W58)</f>
        <v>11</v>
      </c>
      <c r="Z58" s="32">
        <v>46099</v>
      </c>
      <c r="AA58" s="15">
        <v>11</v>
      </c>
      <c r="AB58" s="15">
        <v>1</v>
      </c>
      <c r="AC58" s="15">
        <v>8</v>
      </c>
      <c r="AD58" s="15">
        <v>2</v>
      </c>
      <c r="AE58" s="15">
        <v>0</v>
      </c>
      <c r="AF58" s="19">
        <f t="shared" ref="AF58:AF67" si="13">SUM(AB58:AE58)</f>
        <v>11</v>
      </c>
    </row>
    <row r="59" spans="2:37" x14ac:dyDescent="0.2">
      <c r="B59" s="9">
        <v>56</v>
      </c>
      <c r="C59" s="1">
        <v>44979</v>
      </c>
      <c r="D59" t="s">
        <v>7</v>
      </c>
      <c r="E59">
        <v>71.8</v>
      </c>
      <c r="F59">
        <v>64.099999999999994</v>
      </c>
      <c r="G59">
        <v>0.16</v>
      </c>
      <c r="H59" t="s">
        <v>37</v>
      </c>
      <c r="I59">
        <v>15</v>
      </c>
      <c r="J59" s="10"/>
      <c r="L59" s="29">
        <v>46113</v>
      </c>
      <c r="M59" s="26">
        <v>3</v>
      </c>
      <c r="N59" s="26">
        <v>11</v>
      </c>
      <c r="O59" s="26">
        <v>0</v>
      </c>
      <c r="P59" s="26">
        <v>14</v>
      </c>
      <c r="Q59" s="26">
        <v>11</v>
      </c>
      <c r="R59" s="26">
        <v>12</v>
      </c>
      <c r="S59" s="26">
        <v>2</v>
      </c>
      <c r="T59" s="26">
        <v>10</v>
      </c>
      <c r="U59" s="26">
        <v>8</v>
      </c>
      <c r="V59" s="26">
        <v>3</v>
      </c>
      <c r="W59" s="26">
        <v>1</v>
      </c>
      <c r="X59" s="26">
        <f t="shared" si="12"/>
        <v>22</v>
      </c>
      <c r="Z59" s="32">
        <v>46113</v>
      </c>
      <c r="AA59" s="15">
        <v>22</v>
      </c>
      <c r="AB59" s="15">
        <v>3</v>
      </c>
      <c r="AC59" s="15">
        <v>10</v>
      </c>
      <c r="AD59" s="15">
        <v>8</v>
      </c>
      <c r="AE59" s="15">
        <v>1</v>
      </c>
      <c r="AF59" s="19">
        <f t="shared" si="13"/>
        <v>22</v>
      </c>
    </row>
    <row r="60" spans="2:37" x14ac:dyDescent="0.2">
      <c r="B60" s="9">
        <v>57</v>
      </c>
      <c r="C60" s="1">
        <v>44979</v>
      </c>
      <c r="D60" t="s">
        <v>21</v>
      </c>
      <c r="F60">
        <v>74.3</v>
      </c>
      <c r="J60" s="10" t="s">
        <v>69</v>
      </c>
      <c r="L60" s="29"/>
      <c r="M60" s="26"/>
      <c r="N60" s="26"/>
      <c r="O60" s="26"/>
      <c r="P60" s="26"/>
      <c r="Q60" s="26"/>
      <c r="R60" s="26"/>
      <c r="S60" s="26"/>
      <c r="T60" s="26"/>
      <c r="U60" s="26"/>
      <c r="V60" s="26"/>
      <c r="W60" s="26"/>
      <c r="X60" s="26">
        <f t="shared" si="12"/>
        <v>0</v>
      </c>
      <c r="Z60" s="32"/>
      <c r="AA60" s="15"/>
      <c r="AB60" s="15"/>
      <c r="AC60" s="15"/>
      <c r="AD60" s="15"/>
      <c r="AE60" s="15"/>
      <c r="AF60" s="19">
        <f t="shared" si="13"/>
        <v>0</v>
      </c>
      <c r="AK60" s="19"/>
    </row>
    <row r="61" spans="2:37" x14ac:dyDescent="0.2">
      <c r="B61" s="9">
        <v>58</v>
      </c>
      <c r="C61" s="1">
        <v>44979</v>
      </c>
      <c r="D61" t="s">
        <v>7</v>
      </c>
      <c r="E61">
        <v>60.2</v>
      </c>
      <c r="F61">
        <v>53.7</v>
      </c>
      <c r="G61">
        <v>0.25</v>
      </c>
      <c r="H61" t="s">
        <v>18</v>
      </c>
      <c r="I61">
        <v>15</v>
      </c>
      <c r="J61" s="10"/>
      <c r="L61" s="29"/>
      <c r="M61" s="26"/>
      <c r="N61" s="26"/>
      <c r="O61" s="26"/>
      <c r="P61" s="26"/>
      <c r="Q61" s="26"/>
      <c r="R61" s="26"/>
      <c r="S61" s="26"/>
      <c r="T61" s="26"/>
      <c r="U61" s="26"/>
      <c r="V61" s="26"/>
      <c r="W61" s="26"/>
      <c r="X61" s="26">
        <f t="shared" si="12"/>
        <v>0</v>
      </c>
      <c r="Z61" s="32"/>
      <c r="AA61" s="15"/>
      <c r="AB61" s="15"/>
      <c r="AC61" s="15"/>
      <c r="AD61" s="15"/>
      <c r="AE61" s="15"/>
      <c r="AF61" s="19">
        <f t="shared" si="13"/>
        <v>0</v>
      </c>
      <c r="AK61" s="19"/>
    </row>
    <row r="62" spans="2:37" x14ac:dyDescent="0.2">
      <c r="B62" s="9">
        <v>59</v>
      </c>
      <c r="C62" s="1">
        <v>44979</v>
      </c>
      <c r="D62" t="s">
        <v>7</v>
      </c>
      <c r="E62">
        <v>71.7</v>
      </c>
      <c r="F62">
        <v>64</v>
      </c>
      <c r="G62">
        <v>0.2</v>
      </c>
      <c r="J62" s="10"/>
      <c r="L62" s="29"/>
      <c r="M62" s="26"/>
      <c r="N62" s="26"/>
      <c r="O62" s="26"/>
      <c r="P62" s="26"/>
      <c r="Q62" s="26"/>
      <c r="R62" s="26"/>
      <c r="S62" s="26"/>
      <c r="T62" s="26"/>
      <c r="U62" s="26"/>
      <c r="V62" s="26"/>
      <c r="W62" s="26"/>
      <c r="X62" s="26">
        <f t="shared" si="12"/>
        <v>0</v>
      </c>
      <c r="Z62" s="32"/>
      <c r="AA62" s="15"/>
      <c r="AB62" s="15"/>
      <c r="AC62" s="15"/>
      <c r="AD62" s="15"/>
      <c r="AE62" s="15"/>
      <c r="AF62" s="19">
        <f t="shared" si="13"/>
        <v>0</v>
      </c>
      <c r="AK62" s="19"/>
    </row>
    <row r="63" spans="2:37" x14ac:dyDescent="0.2">
      <c r="B63" s="9">
        <v>60</v>
      </c>
      <c r="C63" s="1">
        <v>44979</v>
      </c>
      <c r="D63" t="s">
        <v>21</v>
      </c>
      <c r="F63">
        <v>77</v>
      </c>
      <c r="J63" s="10" t="s">
        <v>70</v>
      </c>
      <c r="L63" s="29"/>
      <c r="M63" s="26"/>
      <c r="N63" s="26"/>
      <c r="O63" s="26"/>
      <c r="P63" s="26"/>
      <c r="Q63" s="26"/>
      <c r="R63" s="26"/>
      <c r="S63" s="26"/>
      <c r="T63" s="26"/>
      <c r="U63" s="26"/>
      <c r="V63" s="26"/>
      <c r="W63" s="26"/>
      <c r="X63" s="26">
        <f t="shared" si="12"/>
        <v>0</v>
      </c>
      <c r="Z63" s="32"/>
      <c r="AA63" s="15"/>
      <c r="AB63" s="15"/>
      <c r="AC63" s="15"/>
      <c r="AD63" s="15"/>
      <c r="AE63" s="15"/>
      <c r="AF63" s="19">
        <f t="shared" si="13"/>
        <v>0</v>
      </c>
      <c r="AK63" s="19"/>
    </row>
    <row r="64" spans="2:37" x14ac:dyDescent="0.2">
      <c r="B64" s="9">
        <v>61</v>
      </c>
      <c r="C64" s="1">
        <v>44979</v>
      </c>
      <c r="D64" t="s">
        <v>7</v>
      </c>
      <c r="E64">
        <v>70.099999999999994</v>
      </c>
      <c r="F64">
        <v>62.6</v>
      </c>
      <c r="G64">
        <v>0.19</v>
      </c>
      <c r="I64">
        <v>15</v>
      </c>
      <c r="J64" s="10"/>
      <c r="L64" s="29"/>
      <c r="M64" s="26"/>
      <c r="N64" s="26"/>
      <c r="O64" s="26"/>
      <c r="P64" s="26"/>
      <c r="Q64" s="26"/>
      <c r="R64" s="26"/>
      <c r="S64" s="26"/>
      <c r="T64" s="26"/>
      <c r="U64" s="26"/>
      <c r="V64" s="26"/>
      <c r="W64" s="26"/>
      <c r="X64" s="26">
        <f t="shared" si="12"/>
        <v>0</v>
      </c>
      <c r="Z64" s="32"/>
      <c r="AA64" s="15"/>
      <c r="AB64" s="15"/>
      <c r="AC64" s="15"/>
      <c r="AD64" s="15"/>
      <c r="AE64" s="15"/>
      <c r="AF64" s="19">
        <f t="shared" si="13"/>
        <v>0</v>
      </c>
    </row>
    <row r="65" spans="2:32" ht="17" thickBot="1" x14ac:dyDescent="0.25">
      <c r="B65" s="11">
        <v>62</v>
      </c>
      <c r="C65" s="12">
        <v>44979</v>
      </c>
      <c r="D65" s="13" t="s">
        <v>7</v>
      </c>
      <c r="E65" s="13">
        <v>61.3</v>
      </c>
      <c r="F65" s="13">
        <v>54.7</v>
      </c>
      <c r="G65" s="13">
        <v>0.25</v>
      </c>
      <c r="H65" s="13" t="s">
        <v>18</v>
      </c>
      <c r="I65" s="13">
        <v>12</v>
      </c>
      <c r="J65" s="14"/>
      <c r="L65" s="29"/>
      <c r="M65" s="26"/>
      <c r="N65" s="26"/>
      <c r="O65" s="26"/>
      <c r="P65" s="26"/>
      <c r="Q65" s="26"/>
      <c r="R65" s="26"/>
      <c r="S65" s="26"/>
      <c r="T65" s="26"/>
      <c r="U65" s="26"/>
      <c r="V65" s="26"/>
      <c r="W65" s="26"/>
      <c r="X65" s="26">
        <f t="shared" si="12"/>
        <v>0</v>
      </c>
      <c r="Z65" s="32"/>
      <c r="AA65" s="15"/>
      <c r="AB65" s="15"/>
      <c r="AC65" s="15"/>
      <c r="AD65" s="15"/>
      <c r="AE65" s="15"/>
      <c r="AF65" s="19">
        <f t="shared" si="13"/>
        <v>0</v>
      </c>
    </row>
    <row r="66" spans="2:32" x14ac:dyDescent="0.2">
      <c r="B66" s="5">
        <v>63</v>
      </c>
      <c r="C66" s="6">
        <v>45014</v>
      </c>
      <c r="D66" s="7" t="s">
        <v>7</v>
      </c>
      <c r="E66" s="7">
        <v>78.099999999999994</v>
      </c>
      <c r="F66" s="7">
        <v>69.7</v>
      </c>
      <c r="G66" s="7">
        <v>0.23</v>
      </c>
      <c r="H66" s="7"/>
      <c r="I66" s="7"/>
      <c r="J66" s="8"/>
      <c r="L66" s="29"/>
      <c r="M66" s="26"/>
      <c r="N66" s="26"/>
      <c r="O66" s="26"/>
      <c r="P66" s="26"/>
      <c r="Q66" s="26"/>
      <c r="R66" s="26"/>
      <c r="S66" s="26"/>
      <c r="T66" s="26"/>
      <c r="U66" s="26"/>
      <c r="V66" s="26"/>
      <c r="W66" s="26"/>
      <c r="X66" s="26">
        <f t="shared" si="12"/>
        <v>0</v>
      </c>
      <c r="Z66" s="32"/>
      <c r="AA66" s="15"/>
      <c r="AB66" s="15"/>
      <c r="AC66" s="15"/>
      <c r="AD66" s="15"/>
      <c r="AE66" s="15"/>
      <c r="AF66" s="19">
        <f t="shared" si="13"/>
        <v>0</v>
      </c>
    </row>
    <row r="67" spans="2:32" x14ac:dyDescent="0.2">
      <c r="B67" s="9">
        <v>64</v>
      </c>
      <c r="C67" s="1">
        <v>45014</v>
      </c>
      <c r="D67" t="s">
        <v>7</v>
      </c>
      <c r="E67">
        <v>77.7</v>
      </c>
      <c r="F67">
        <v>69.400000000000006</v>
      </c>
      <c r="G67">
        <v>0.17</v>
      </c>
      <c r="H67" t="s">
        <v>18</v>
      </c>
      <c r="I67">
        <v>15</v>
      </c>
      <c r="J67" s="10"/>
      <c r="L67" s="29"/>
      <c r="M67" s="26"/>
      <c r="N67" s="26"/>
      <c r="O67" s="26"/>
      <c r="P67" s="26"/>
      <c r="Q67" s="26"/>
      <c r="R67" s="26"/>
      <c r="S67" s="26"/>
      <c r="T67" s="26"/>
      <c r="U67" s="26"/>
      <c r="V67" s="26"/>
      <c r="W67" s="26"/>
      <c r="X67" s="26">
        <f t="shared" si="12"/>
        <v>0</v>
      </c>
      <c r="Z67" s="32"/>
      <c r="AA67" s="15"/>
      <c r="AB67" s="15"/>
      <c r="AC67" s="15"/>
      <c r="AD67" s="15"/>
      <c r="AE67" s="15"/>
      <c r="AF67" s="19">
        <f t="shared" si="13"/>
        <v>0</v>
      </c>
    </row>
    <row r="68" spans="2:32" x14ac:dyDescent="0.2">
      <c r="B68" s="9">
        <v>65</v>
      </c>
      <c r="C68" s="1">
        <v>45014</v>
      </c>
      <c r="D68" t="s">
        <v>7</v>
      </c>
      <c r="E68">
        <v>80.3</v>
      </c>
      <c r="F68">
        <v>71.7</v>
      </c>
      <c r="G68">
        <v>0.13</v>
      </c>
      <c r="H68" t="s">
        <v>37</v>
      </c>
      <c r="I68">
        <v>15</v>
      </c>
      <c r="J68" s="10"/>
      <c r="L68" t="s">
        <v>43</v>
      </c>
      <c r="M68" s="26">
        <f t="shared" ref="M68:X68" si="14">SUM(M4:M67)</f>
        <v>186</v>
      </c>
      <c r="N68" s="26">
        <f t="shared" si="14"/>
        <v>294</v>
      </c>
      <c r="O68" s="26">
        <f t="shared" si="14"/>
        <v>1</v>
      </c>
      <c r="P68" s="26">
        <f t="shared" si="14"/>
        <v>480</v>
      </c>
      <c r="Q68" s="26">
        <f t="shared" si="14"/>
        <v>451</v>
      </c>
      <c r="R68" s="26">
        <f t="shared" si="14"/>
        <v>396</v>
      </c>
      <c r="S68" s="26">
        <f t="shared" si="14"/>
        <v>83</v>
      </c>
      <c r="T68" s="26">
        <f t="shared" si="14"/>
        <v>388</v>
      </c>
      <c r="U68" s="26">
        <f t="shared" si="14"/>
        <v>156</v>
      </c>
      <c r="V68" s="26">
        <f t="shared" si="14"/>
        <v>118</v>
      </c>
      <c r="W68" s="26">
        <f t="shared" si="14"/>
        <v>40</v>
      </c>
      <c r="X68" s="26">
        <f t="shared" si="14"/>
        <v>702</v>
      </c>
      <c r="Z68" t="s">
        <v>43</v>
      </c>
      <c r="AA68" s="19">
        <f t="shared" ref="AA68:AF68" si="15">SUM(AA4:AA67)</f>
        <v>702</v>
      </c>
      <c r="AB68" s="19">
        <f t="shared" si="15"/>
        <v>118</v>
      </c>
      <c r="AC68" s="19">
        <f t="shared" si="15"/>
        <v>388</v>
      </c>
      <c r="AD68" s="19">
        <f t="shared" si="15"/>
        <v>156</v>
      </c>
      <c r="AE68" s="19">
        <f t="shared" si="15"/>
        <v>40</v>
      </c>
      <c r="AF68" s="19">
        <f t="shared" si="15"/>
        <v>702</v>
      </c>
    </row>
    <row r="69" spans="2:32" x14ac:dyDescent="0.2">
      <c r="B69" s="9">
        <v>66</v>
      </c>
      <c r="C69" s="1">
        <v>45014</v>
      </c>
      <c r="D69" t="s">
        <v>5</v>
      </c>
      <c r="F69">
        <v>81.599999999999994</v>
      </c>
      <c r="J69" s="10" t="s">
        <v>71</v>
      </c>
      <c r="L69" s="24"/>
      <c r="M69" s="24"/>
      <c r="N69" s="24"/>
      <c r="O69" s="24"/>
      <c r="P69" s="24"/>
      <c r="Q69" s="24"/>
      <c r="R69" s="24"/>
      <c r="S69" s="24"/>
      <c r="T69" s="24"/>
      <c r="U69" s="24"/>
      <c r="V69" s="24"/>
      <c r="W69" s="24"/>
      <c r="X69" s="24"/>
    </row>
    <row r="70" spans="2:32" ht="17" customHeight="1" x14ac:dyDescent="0.2">
      <c r="B70" s="9">
        <v>67</v>
      </c>
      <c r="C70" s="1">
        <v>45014</v>
      </c>
      <c r="D70" t="s">
        <v>7</v>
      </c>
      <c r="E70">
        <v>73.5</v>
      </c>
      <c r="F70">
        <v>65.599999999999994</v>
      </c>
      <c r="G70">
        <v>0.16</v>
      </c>
      <c r="H70" t="s">
        <v>18</v>
      </c>
      <c r="I70">
        <v>12.5</v>
      </c>
      <c r="J70" s="10"/>
      <c r="L70" s="24"/>
      <c r="M70" s="24"/>
      <c r="N70" s="24"/>
      <c r="O70" s="24"/>
      <c r="P70" s="24"/>
      <c r="Q70" s="24"/>
      <c r="R70" s="24"/>
      <c r="S70" s="24"/>
      <c r="T70" s="24"/>
      <c r="U70" s="24"/>
      <c r="V70" s="24"/>
      <c r="W70" s="24"/>
      <c r="X70" s="24"/>
      <c r="Z70" t="s">
        <v>97</v>
      </c>
      <c r="AA70" s="19">
        <f>AC68</f>
        <v>388</v>
      </c>
    </row>
    <row r="71" spans="2:32" ht="17" thickBot="1" x14ac:dyDescent="0.25">
      <c r="B71" s="11">
        <v>68</v>
      </c>
      <c r="C71" s="12">
        <v>45014</v>
      </c>
      <c r="D71" s="13" t="s">
        <v>7</v>
      </c>
      <c r="E71" s="13">
        <v>81.599999999999994</v>
      </c>
      <c r="F71" s="13">
        <v>72.8</v>
      </c>
      <c r="G71" s="13">
        <v>0.18</v>
      </c>
      <c r="H71" s="13"/>
      <c r="I71" s="13"/>
      <c r="J71" s="14"/>
      <c r="L71" s="24"/>
      <c r="M71" s="24"/>
      <c r="N71" s="24"/>
      <c r="O71" s="24"/>
      <c r="P71" s="24"/>
      <c r="Q71" s="24"/>
      <c r="R71" s="24"/>
      <c r="S71" s="24"/>
      <c r="T71" s="24"/>
      <c r="U71" s="24"/>
      <c r="V71" s="24"/>
      <c r="W71" s="24"/>
      <c r="X71" s="24"/>
      <c r="Z71" t="s">
        <v>86</v>
      </c>
      <c r="AA71" s="19">
        <f>AD68</f>
        <v>156</v>
      </c>
    </row>
    <row r="72" spans="2:32" x14ac:dyDescent="0.2">
      <c r="B72" s="5">
        <v>69</v>
      </c>
      <c r="C72" s="6">
        <v>45042</v>
      </c>
      <c r="D72" s="7" t="s">
        <v>7</v>
      </c>
      <c r="E72" s="7">
        <v>84</v>
      </c>
      <c r="F72" s="7">
        <v>75</v>
      </c>
      <c r="G72" s="7">
        <v>0.22</v>
      </c>
      <c r="H72" s="7"/>
      <c r="I72" s="7"/>
      <c r="J72" s="8"/>
      <c r="L72" s="24"/>
      <c r="M72" s="24"/>
      <c r="N72" s="24"/>
      <c r="O72" s="24"/>
      <c r="P72" s="24"/>
      <c r="Q72" s="24"/>
      <c r="R72" s="24"/>
      <c r="S72" s="24"/>
      <c r="T72" s="24"/>
      <c r="U72" s="24"/>
      <c r="V72" s="24"/>
      <c r="W72" s="24"/>
      <c r="X72" s="24"/>
      <c r="Z72" t="s">
        <v>98</v>
      </c>
      <c r="AA72" s="19">
        <f>AB68</f>
        <v>118</v>
      </c>
    </row>
    <row r="73" spans="2:32" x14ac:dyDescent="0.2">
      <c r="B73" s="9">
        <v>70</v>
      </c>
      <c r="C73" s="1">
        <v>45042</v>
      </c>
      <c r="D73" t="s">
        <v>6</v>
      </c>
      <c r="E73">
        <v>18.3</v>
      </c>
      <c r="F73">
        <v>16.7</v>
      </c>
      <c r="G73">
        <v>0.22</v>
      </c>
      <c r="H73" t="s">
        <v>47</v>
      </c>
      <c r="I73">
        <v>20</v>
      </c>
      <c r="J73" s="10"/>
      <c r="L73" s="24"/>
      <c r="M73" s="24"/>
      <c r="N73" s="24"/>
      <c r="O73" s="24"/>
      <c r="P73" s="24"/>
      <c r="Q73" s="24"/>
      <c r="R73" s="24"/>
      <c r="S73" s="24"/>
      <c r="T73" s="24"/>
      <c r="U73" s="24"/>
      <c r="V73" s="24"/>
      <c r="W73" s="24"/>
      <c r="Z73" t="s">
        <v>52</v>
      </c>
      <c r="AA73" s="19">
        <f>AE68</f>
        <v>40</v>
      </c>
      <c r="AC73">
        <v>1</v>
      </c>
      <c r="AD73" t="s">
        <v>162</v>
      </c>
    </row>
    <row r="74" spans="2:32" x14ac:dyDescent="0.2">
      <c r="B74" s="9">
        <v>71</v>
      </c>
      <c r="C74" s="1">
        <v>45042</v>
      </c>
      <c r="D74" t="s">
        <v>7</v>
      </c>
      <c r="E74">
        <v>98.1</v>
      </c>
      <c r="F74">
        <v>87.6</v>
      </c>
      <c r="G74">
        <v>0.2</v>
      </c>
      <c r="I74">
        <v>25</v>
      </c>
      <c r="J74" s="10"/>
      <c r="L74" s="24"/>
      <c r="M74" s="24"/>
      <c r="N74" s="24"/>
      <c r="O74" s="24"/>
      <c r="P74" s="24"/>
      <c r="Q74" s="24"/>
      <c r="R74" s="24"/>
      <c r="S74" s="24"/>
      <c r="T74" s="24"/>
      <c r="U74" s="24"/>
      <c r="V74" s="24"/>
      <c r="W74" s="24"/>
      <c r="AC74">
        <v>1</v>
      </c>
      <c r="AD74" t="s">
        <v>163</v>
      </c>
    </row>
    <row r="75" spans="2:32" x14ac:dyDescent="0.2">
      <c r="B75" s="9">
        <v>72</v>
      </c>
      <c r="C75" s="1">
        <v>45042</v>
      </c>
      <c r="D75" t="s">
        <v>21</v>
      </c>
      <c r="F75">
        <v>81.5</v>
      </c>
      <c r="G75">
        <v>0.18</v>
      </c>
      <c r="J75" s="10" t="s">
        <v>72</v>
      </c>
      <c r="L75" s="24"/>
      <c r="M75" s="24"/>
      <c r="N75" s="24"/>
      <c r="O75" s="24"/>
      <c r="P75" s="24"/>
      <c r="Q75" s="24"/>
      <c r="R75" s="24"/>
      <c r="S75" s="24"/>
      <c r="T75" s="24"/>
      <c r="U75" s="24"/>
      <c r="V75" s="24"/>
      <c r="W75" s="24"/>
      <c r="AC75">
        <v>22</v>
      </c>
      <c r="AD75" t="s">
        <v>164</v>
      </c>
    </row>
    <row r="76" spans="2:32" x14ac:dyDescent="0.2">
      <c r="B76" s="9">
        <v>73</v>
      </c>
      <c r="C76" s="1">
        <v>45042</v>
      </c>
      <c r="D76" t="s">
        <v>7</v>
      </c>
      <c r="E76">
        <v>79.2</v>
      </c>
      <c r="F76">
        <v>70.7</v>
      </c>
      <c r="G76">
        <v>0.14000000000000001</v>
      </c>
      <c r="H76" t="s">
        <v>37</v>
      </c>
      <c r="I76">
        <v>10</v>
      </c>
      <c r="J76" s="10"/>
      <c r="AA76" s="19"/>
      <c r="AC76">
        <v>1</v>
      </c>
      <c r="AD76" t="s">
        <v>189</v>
      </c>
    </row>
    <row r="77" spans="2:32" x14ac:dyDescent="0.2">
      <c r="B77" s="9">
        <v>74</v>
      </c>
      <c r="C77" s="1">
        <v>45042</v>
      </c>
      <c r="D77" t="s">
        <v>7</v>
      </c>
      <c r="E77">
        <v>85.7</v>
      </c>
      <c r="F77">
        <v>76.5</v>
      </c>
      <c r="G77">
        <v>0.31</v>
      </c>
      <c r="J77" s="10"/>
      <c r="AA77" s="19"/>
      <c r="AC77">
        <v>3</v>
      </c>
      <c r="AD77" t="s">
        <v>228</v>
      </c>
    </row>
    <row r="78" spans="2:32" x14ac:dyDescent="0.2">
      <c r="B78" s="9">
        <v>75</v>
      </c>
      <c r="C78" s="1">
        <v>45042</v>
      </c>
      <c r="D78" t="s">
        <v>7</v>
      </c>
      <c r="E78">
        <v>78.900000000000006</v>
      </c>
      <c r="F78">
        <v>70.400000000000006</v>
      </c>
      <c r="G78">
        <v>0.12</v>
      </c>
      <c r="I78">
        <v>10</v>
      </c>
      <c r="J78" s="10"/>
      <c r="AA78" s="19"/>
      <c r="AC78">
        <v>1</v>
      </c>
      <c r="AD78" t="s">
        <v>364</v>
      </c>
    </row>
    <row r="79" spans="2:32" x14ac:dyDescent="0.2">
      <c r="B79" s="9">
        <v>76</v>
      </c>
      <c r="C79" s="1">
        <v>45042</v>
      </c>
      <c r="D79" t="s">
        <v>5</v>
      </c>
      <c r="F79">
        <v>76.3</v>
      </c>
      <c r="G79">
        <v>0.16</v>
      </c>
      <c r="J79" s="10" t="s">
        <v>73</v>
      </c>
      <c r="AA79" s="19"/>
      <c r="AC79">
        <v>1</v>
      </c>
      <c r="AD79" t="s">
        <v>363</v>
      </c>
    </row>
    <row r="80" spans="2:32" x14ac:dyDescent="0.2">
      <c r="B80" s="9">
        <v>77</v>
      </c>
      <c r="C80" s="1">
        <v>45042</v>
      </c>
      <c r="D80" t="s">
        <v>7</v>
      </c>
      <c r="E80">
        <v>90.1</v>
      </c>
      <c r="F80">
        <v>80.400000000000006</v>
      </c>
      <c r="G80">
        <v>0.23</v>
      </c>
      <c r="I80">
        <v>13.3</v>
      </c>
      <c r="J80" s="10" t="s">
        <v>147</v>
      </c>
      <c r="AC80">
        <v>2</v>
      </c>
      <c r="AD80" t="s">
        <v>349</v>
      </c>
    </row>
    <row r="81" spans="2:30" x14ac:dyDescent="0.2">
      <c r="B81" s="9">
        <v>78</v>
      </c>
      <c r="C81" s="1">
        <v>45042</v>
      </c>
      <c r="D81" t="s">
        <v>6</v>
      </c>
      <c r="E81">
        <v>15.9</v>
      </c>
      <c r="F81">
        <v>14.3</v>
      </c>
      <c r="G81">
        <v>0.23</v>
      </c>
      <c r="H81" t="s">
        <v>47</v>
      </c>
      <c r="J81" s="10"/>
      <c r="AC81">
        <v>1</v>
      </c>
      <c r="AD81" t="s">
        <v>446</v>
      </c>
    </row>
    <row r="82" spans="2:30" x14ac:dyDescent="0.2">
      <c r="B82" s="9">
        <v>79</v>
      </c>
      <c r="C82" s="1">
        <v>45042</v>
      </c>
      <c r="D82" t="s">
        <v>7</v>
      </c>
      <c r="E82">
        <v>79.8</v>
      </c>
      <c r="F82">
        <v>71.2</v>
      </c>
      <c r="G82">
        <v>0.16</v>
      </c>
      <c r="I82">
        <v>15</v>
      </c>
      <c r="J82" s="10"/>
      <c r="AC82">
        <v>2</v>
      </c>
      <c r="AD82" t="s">
        <v>451</v>
      </c>
    </row>
    <row r="83" spans="2:30" x14ac:dyDescent="0.2">
      <c r="B83" s="9">
        <v>80</v>
      </c>
      <c r="C83" s="1">
        <v>45042</v>
      </c>
      <c r="D83" t="s">
        <v>5</v>
      </c>
      <c r="F83">
        <v>77.2</v>
      </c>
      <c r="G83">
        <v>0.09</v>
      </c>
      <c r="J83" s="10" t="s">
        <v>74</v>
      </c>
    </row>
    <row r="84" spans="2:30" x14ac:dyDescent="0.2">
      <c r="B84" s="9">
        <v>81</v>
      </c>
      <c r="C84" s="1">
        <v>45042</v>
      </c>
      <c r="D84" t="s">
        <v>7</v>
      </c>
      <c r="E84">
        <v>73.3</v>
      </c>
      <c r="F84">
        <v>65.400000000000006</v>
      </c>
      <c r="G84">
        <v>0.16</v>
      </c>
      <c r="H84" t="s">
        <v>18</v>
      </c>
      <c r="J84" s="10"/>
    </row>
    <row r="85" spans="2:30" ht="17" thickBot="1" x14ac:dyDescent="0.25">
      <c r="B85" s="11">
        <v>82</v>
      </c>
      <c r="C85" s="12">
        <v>45042</v>
      </c>
      <c r="D85" s="13" t="s">
        <v>5</v>
      </c>
      <c r="E85" s="13"/>
      <c r="F85" s="13">
        <v>79.7</v>
      </c>
      <c r="G85" s="13">
        <v>0.08</v>
      </c>
      <c r="H85" s="13"/>
      <c r="I85" s="13"/>
      <c r="J85" s="14" t="s">
        <v>48</v>
      </c>
    </row>
    <row r="86" spans="2:30" x14ac:dyDescent="0.2">
      <c r="B86" s="5">
        <v>83</v>
      </c>
      <c r="C86" s="6">
        <v>45070</v>
      </c>
      <c r="D86" s="7" t="s">
        <v>7</v>
      </c>
      <c r="E86" s="7">
        <v>80</v>
      </c>
      <c r="F86" s="7">
        <v>71.400000000000006</v>
      </c>
      <c r="G86" s="7">
        <v>0.1</v>
      </c>
      <c r="H86" s="7"/>
      <c r="I86" s="7">
        <v>15</v>
      </c>
      <c r="J86" s="8"/>
    </row>
    <row r="87" spans="2:30" x14ac:dyDescent="0.2">
      <c r="B87" s="9">
        <v>84</v>
      </c>
      <c r="C87" s="1">
        <v>45070</v>
      </c>
      <c r="D87" t="s">
        <v>7</v>
      </c>
      <c r="E87">
        <v>90</v>
      </c>
      <c r="F87">
        <v>80.3</v>
      </c>
      <c r="G87">
        <v>0.19</v>
      </c>
      <c r="I87">
        <v>10</v>
      </c>
      <c r="J87" s="10"/>
    </row>
    <row r="88" spans="2:30" x14ac:dyDescent="0.2">
      <c r="B88" s="9">
        <v>85</v>
      </c>
      <c r="C88" s="1">
        <v>45070</v>
      </c>
      <c r="D88" t="s">
        <v>7</v>
      </c>
      <c r="E88">
        <v>91.3</v>
      </c>
      <c r="F88">
        <v>81.5</v>
      </c>
      <c r="G88">
        <v>0.13</v>
      </c>
      <c r="J88" s="10" t="s">
        <v>49</v>
      </c>
    </row>
    <row r="89" spans="2:30" x14ac:dyDescent="0.2">
      <c r="B89" s="9">
        <v>86</v>
      </c>
      <c r="C89" s="1">
        <v>45070</v>
      </c>
      <c r="D89" t="s">
        <v>7</v>
      </c>
      <c r="E89">
        <v>91.9</v>
      </c>
      <c r="F89">
        <v>82</v>
      </c>
      <c r="G89">
        <v>0.15</v>
      </c>
      <c r="I89">
        <v>12</v>
      </c>
      <c r="J89" s="10"/>
    </row>
    <row r="90" spans="2:30" x14ac:dyDescent="0.2">
      <c r="B90" s="9">
        <v>87</v>
      </c>
      <c r="C90" s="1">
        <v>45070</v>
      </c>
      <c r="D90" t="s">
        <v>7</v>
      </c>
      <c r="E90">
        <v>89.9</v>
      </c>
      <c r="F90">
        <v>80.3</v>
      </c>
      <c r="G90">
        <v>0.19</v>
      </c>
      <c r="I90">
        <v>12.5</v>
      </c>
      <c r="J90" s="10"/>
    </row>
    <row r="91" spans="2:30" x14ac:dyDescent="0.2">
      <c r="B91" s="9">
        <v>88</v>
      </c>
      <c r="C91" s="1">
        <v>45070</v>
      </c>
      <c r="D91" t="s">
        <v>7</v>
      </c>
      <c r="E91">
        <v>76.099999999999994</v>
      </c>
      <c r="F91">
        <v>67.900000000000006</v>
      </c>
      <c r="G91">
        <v>0.18</v>
      </c>
      <c r="I91">
        <v>15</v>
      </c>
      <c r="J91" s="10"/>
    </row>
    <row r="92" spans="2:30" x14ac:dyDescent="0.2">
      <c r="B92" s="9">
        <v>89</v>
      </c>
      <c r="C92" s="1">
        <v>45070</v>
      </c>
      <c r="D92" t="s">
        <v>5</v>
      </c>
      <c r="F92">
        <v>84</v>
      </c>
      <c r="G92">
        <v>0.14000000000000001</v>
      </c>
      <c r="J92" s="10" t="s">
        <v>50</v>
      </c>
    </row>
    <row r="93" spans="2:30" x14ac:dyDescent="0.2">
      <c r="B93" s="9">
        <v>90</v>
      </c>
      <c r="C93" s="1">
        <v>45070</v>
      </c>
      <c r="D93" t="s">
        <v>51</v>
      </c>
      <c r="G93">
        <v>0.51</v>
      </c>
      <c r="J93" s="10" t="s">
        <v>53</v>
      </c>
      <c r="K93" s="21"/>
    </row>
    <row r="94" spans="2:30" x14ac:dyDescent="0.2">
      <c r="B94" s="9">
        <v>91</v>
      </c>
      <c r="C94" s="1">
        <v>45070</v>
      </c>
      <c r="D94" t="s">
        <v>7</v>
      </c>
      <c r="E94">
        <v>82.4</v>
      </c>
      <c r="F94">
        <v>73.599999999999994</v>
      </c>
      <c r="G94">
        <v>0.18</v>
      </c>
      <c r="I94">
        <v>15</v>
      </c>
      <c r="J94" s="10"/>
    </row>
    <row r="95" spans="2:30" x14ac:dyDescent="0.2">
      <c r="B95" s="9">
        <v>92</v>
      </c>
      <c r="C95" s="1">
        <v>45070</v>
      </c>
      <c r="D95" t="s">
        <v>7</v>
      </c>
      <c r="E95">
        <v>86.1</v>
      </c>
      <c r="F95">
        <v>76.900000000000006</v>
      </c>
      <c r="G95">
        <v>0.16</v>
      </c>
      <c r="I95">
        <v>10</v>
      </c>
      <c r="J95" s="10"/>
    </row>
    <row r="96" spans="2:30" x14ac:dyDescent="0.2">
      <c r="B96" s="9">
        <v>93</v>
      </c>
      <c r="C96" s="1">
        <v>45070</v>
      </c>
      <c r="D96" t="s">
        <v>5</v>
      </c>
      <c r="F96">
        <v>86</v>
      </c>
      <c r="G96">
        <v>0.12</v>
      </c>
      <c r="J96" s="10" t="s">
        <v>75</v>
      </c>
    </row>
    <row r="97" spans="2:10" x14ac:dyDescent="0.2">
      <c r="B97" s="9">
        <v>94</v>
      </c>
      <c r="C97" s="1">
        <v>45070</v>
      </c>
      <c r="D97" t="s">
        <v>7</v>
      </c>
      <c r="E97">
        <v>64.2</v>
      </c>
      <c r="F97">
        <v>57.3</v>
      </c>
      <c r="G97">
        <v>0.06</v>
      </c>
      <c r="H97" t="s">
        <v>37</v>
      </c>
      <c r="J97" s="10" t="s">
        <v>54</v>
      </c>
    </row>
    <row r="98" spans="2:10" ht="17" thickBot="1" x14ac:dyDescent="0.25">
      <c r="B98" s="11">
        <v>95</v>
      </c>
      <c r="C98" s="12">
        <v>45070</v>
      </c>
      <c r="D98" s="13" t="s">
        <v>7</v>
      </c>
      <c r="E98" s="13">
        <v>77</v>
      </c>
      <c r="F98" s="13">
        <v>68.7</v>
      </c>
      <c r="G98" s="13">
        <v>0.04</v>
      </c>
      <c r="H98" s="13" t="s">
        <v>37</v>
      </c>
      <c r="I98" s="13"/>
      <c r="J98" s="14" t="s">
        <v>54</v>
      </c>
    </row>
    <row r="99" spans="2:10" x14ac:dyDescent="0.2">
      <c r="B99" s="5">
        <v>96</v>
      </c>
      <c r="C99" s="6">
        <v>45112</v>
      </c>
      <c r="D99" s="7" t="s">
        <v>7</v>
      </c>
      <c r="E99" s="7">
        <v>59.3</v>
      </c>
      <c r="F99" s="7">
        <v>52.9</v>
      </c>
      <c r="G99" s="7" t="s">
        <v>55</v>
      </c>
      <c r="H99" s="7" t="s">
        <v>37</v>
      </c>
      <c r="I99" s="7"/>
      <c r="J99" s="8" t="s">
        <v>54</v>
      </c>
    </row>
    <row r="100" spans="2:10" x14ac:dyDescent="0.2">
      <c r="B100" s="9">
        <v>97</v>
      </c>
      <c r="C100" s="1">
        <v>45112</v>
      </c>
      <c r="D100" t="s">
        <v>7</v>
      </c>
      <c r="E100">
        <v>74.2</v>
      </c>
      <c r="F100">
        <v>66.2</v>
      </c>
      <c r="G100">
        <v>0.18</v>
      </c>
      <c r="I100">
        <v>10</v>
      </c>
      <c r="J100" s="10"/>
    </row>
    <row r="101" spans="2:10" x14ac:dyDescent="0.2">
      <c r="B101" s="9">
        <v>98</v>
      </c>
      <c r="C101" s="1">
        <v>45112</v>
      </c>
      <c r="D101" t="s">
        <v>7</v>
      </c>
      <c r="E101">
        <v>71.8</v>
      </c>
      <c r="F101">
        <v>64.099999999999994</v>
      </c>
      <c r="G101">
        <v>0.12</v>
      </c>
      <c r="H101" t="s">
        <v>37</v>
      </c>
      <c r="I101">
        <v>10</v>
      </c>
      <c r="J101" s="10"/>
    </row>
    <row r="102" spans="2:10" ht="17" thickBot="1" x14ac:dyDescent="0.25">
      <c r="B102" s="11">
        <v>99</v>
      </c>
      <c r="C102" s="12">
        <v>45112</v>
      </c>
      <c r="D102" s="13" t="s">
        <v>7</v>
      </c>
      <c r="E102" s="13">
        <v>55.4</v>
      </c>
      <c r="F102" s="13">
        <v>49.5</v>
      </c>
      <c r="G102" s="13">
        <v>0.23</v>
      </c>
      <c r="H102" s="13"/>
      <c r="I102" s="13"/>
      <c r="J102" s="14" t="s">
        <v>56</v>
      </c>
    </row>
    <row r="103" spans="2:10" x14ac:dyDescent="0.2">
      <c r="B103" s="5">
        <v>100</v>
      </c>
      <c r="C103" s="6">
        <v>45161</v>
      </c>
      <c r="D103" s="7" t="s">
        <v>7</v>
      </c>
      <c r="E103" s="7">
        <v>90.2</v>
      </c>
      <c r="F103" s="7">
        <v>80.5</v>
      </c>
      <c r="G103" s="7"/>
      <c r="H103" s="7"/>
      <c r="I103" s="7"/>
      <c r="J103" s="8"/>
    </row>
    <row r="104" spans="2:10" x14ac:dyDescent="0.2">
      <c r="B104" s="9">
        <v>101</v>
      </c>
      <c r="C104" s="1">
        <v>45161</v>
      </c>
      <c r="D104" t="s">
        <v>7</v>
      </c>
      <c r="E104">
        <v>79.2</v>
      </c>
      <c r="F104">
        <v>70.7</v>
      </c>
      <c r="G104">
        <v>0.19</v>
      </c>
      <c r="I104">
        <v>10</v>
      </c>
      <c r="J104" s="10"/>
    </row>
    <row r="105" spans="2:10" x14ac:dyDescent="0.2">
      <c r="B105" s="9">
        <v>102</v>
      </c>
      <c r="C105" s="1">
        <v>45161</v>
      </c>
      <c r="D105" t="s">
        <v>7</v>
      </c>
      <c r="E105">
        <v>86.5</v>
      </c>
      <c r="F105">
        <v>77.2</v>
      </c>
      <c r="J105" s="10"/>
    </row>
    <row r="106" spans="2:10" x14ac:dyDescent="0.2">
      <c r="B106" s="9">
        <v>103</v>
      </c>
      <c r="C106" s="1">
        <v>45161</v>
      </c>
      <c r="D106" t="s">
        <v>7</v>
      </c>
      <c r="E106">
        <v>74.7</v>
      </c>
      <c r="F106">
        <v>66.7</v>
      </c>
      <c r="H106" t="s">
        <v>18</v>
      </c>
      <c r="J106" s="10"/>
    </row>
    <row r="107" spans="2:10" ht="17" thickBot="1" x14ac:dyDescent="0.25">
      <c r="B107" s="11">
        <v>104</v>
      </c>
      <c r="C107" s="12">
        <v>45161</v>
      </c>
      <c r="D107" s="13" t="s">
        <v>7</v>
      </c>
      <c r="E107" s="13">
        <v>84</v>
      </c>
      <c r="F107" s="13">
        <v>75</v>
      </c>
      <c r="G107" s="13"/>
      <c r="H107" s="13"/>
      <c r="I107" s="13"/>
      <c r="J107" s="14"/>
    </row>
    <row r="108" spans="2:10" x14ac:dyDescent="0.2">
      <c r="B108" s="5">
        <v>105</v>
      </c>
      <c r="C108" s="6">
        <v>45210</v>
      </c>
      <c r="D108" s="7" t="s">
        <v>6</v>
      </c>
      <c r="E108" s="7">
        <v>19</v>
      </c>
      <c r="F108" s="7">
        <v>17.3</v>
      </c>
      <c r="G108" s="7"/>
      <c r="H108" s="7" t="s">
        <v>47</v>
      </c>
      <c r="I108" s="7"/>
      <c r="J108" s="8"/>
    </row>
    <row r="109" spans="2:10" x14ac:dyDescent="0.2">
      <c r="B109" s="9">
        <v>106</v>
      </c>
      <c r="C109" s="1">
        <v>45210</v>
      </c>
      <c r="D109" t="s">
        <v>7</v>
      </c>
      <c r="E109">
        <v>53.5</v>
      </c>
      <c r="F109">
        <v>47.8</v>
      </c>
      <c r="H109" t="s">
        <v>37</v>
      </c>
      <c r="J109" s="10"/>
    </row>
    <row r="110" spans="2:10" x14ac:dyDescent="0.2">
      <c r="B110" s="9">
        <v>107</v>
      </c>
      <c r="C110" s="1">
        <v>45210</v>
      </c>
      <c r="D110" t="s">
        <v>5</v>
      </c>
      <c r="F110">
        <v>78.900000000000006</v>
      </c>
      <c r="J110" s="10" t="s">
        <v>63</v>
      </c>
    </row>
    <row r="111" spans="2:10" x14ac:dyDescent="0.2">
      <c r="B111" s="9">
        <v>108</v>
      </c>
      <c r="C111" s="1">
        <v>45210</v>
      </c>
      <c r="D111" t="s">
        <v>7</v>
      </c>
      <c r="E111">
        <v>64.3</v>
      </c>
      <c r="F111">
        <v>57.4</v>
      </c>
      <c r="J111" s="10"/>
    </row>
    <row r="112" spans="2:10" x14ac:dyDescent="0.2">
      <c r="B112" s="9">
        <v>109</v>
      </c>
      <c r="C112" s="1">
        <v>45210</v>
      </c>
      <c r="D112" t="s">
        <v>7</v>
      </c>
      <c r="E112">
        <v>71</v>
      </c>
      <c r="F112">
        <v>63.4</v>
      </c>
      <c r="J112" s="10"/>
    </row>
    <row r="113" spans="2:10" x14ac:dyDescent="0.2">
      <c r="B113" s="9">
        <v>110</v>
      </c>
      <c r="C113" s="1">
        <v>45210</v>
      </c>
      <c r="D113" t="s">
        <v>5</v>
      </c>
      <c r="F113">
        <v>75.599999999999994</v>
      </c>
      <c r="J113" s="10" t="s">
        <v>76</v>
      </c>
    </row>
    <row r="114" spans="2:10" x14ac:dyDescent="0.2">
      <c r="B114" s="9">
        <v>111</v>
      </c>
      <c r="C114" s="1">
        <v>45210</v>
      </c>
      <c r="D114" t="s">
        <v>7</v>
      </c>
      <c r="E114">
        <v>59.4</v>
      </c>
      <c r="F114">
        <v>53</v>
      </c>
      <c r="H114" t="s">
        <v>57</v>
      </c>
      <c r="J114" s="10"/>
    </row>
    <row r="115" spans="2:10" x14ac:dyDescent="0.2">
      <c r="B115" s="9">
        <v>112</v>
      </c>
      <c r="C115" s="1">
        <v>45210</v>
      </c>
      <c r="D115" t="s">
        <v>7</v>
      </c>
      <c r="E115">
        <v>70.3</v>
      </c>
      <c r="F115">
        <v>62.8</v>
      </c>
      <c r="J115" s="10"/>
    </row>
    <row r="116" spans="2:10" x14ac:dyDescent="0.2">
      <c r="B116" s="9">
        <v>113</v>
      </c>
      <c r="C116" s="1">
        <v>45210</v>
      </c>
      <c r="D116" t="s">
        <v>7</v>
      </c>
      <c r="E116">
        <v>65.7</v>
      </c>
      <c r="F116">
        <v>58.7</v>
      </c>
      <c r="J116" s="10"/>
    </row>
    <row r="117" spans="2:10" x14ac:dyDescent="0.2">
      <c r="B117" s="9">
        <v>114</v>
      </c>
      <c r="C117" s="1">
        <v>45210</v>
      </c>
      <c r="D117" t="s">
        <v>7</v>
      </c>
      <c r="E117">
        <v>61.8</v>
      </c>
      <c r="F117">
        <v>55.2</v>
      </c>
      <c r="J117" s="10"/>
    </row>
    <row r="118" spans="2:10" x14ac:dyDescent="0.2">
      <c r="B118" s="9">
        <v>115</v>
      </c>
      <c r="C118" s="1">
        <v>45210</v>
      </c>
      <c r="D118" t="s">
        <v>7</v>
      </c>
      <c r="E118">
        <v>69.900000000000006</v>
      </c>
      <c r="F118">
        <v>62.4</v>
      </c>
      <c r="J118" s="10"/>
    </row>
    <row r="119" spans="2:10" x14ac:dyDescent="0.2">
      <c r="B119" s="9">
        <v>116</v>
      </c>
      <c r="C119" s="1">
        <v>45210</v>
      </c>
      <c r="D119" t="s">
        <v>5</v>
      </c>
      <c r="F119">
        <v>77.8</v>
      </c>
      <c r="J119" s="10" t="s">
        <v>77</v>
      </c>
    </row>
    <row r="120" spans="2:10" x14ac:dyDescent="0.2">
      <c r="B120" s="9">
        <v>117</v>
      </c>
      <c r="C120" s="1">
        <v>45210</v>
      </c>
      <c r="D120" t="s">
        <v>7</v>
      </c>
      <c r="E120">
        <v>70</v>
      </c>
      <c r="F120">
        <v>62.5</v>
      </c>
      <c r="J120" s="10"/>
    </row>
    <row r="121" spans="2:10" x14ac:dyDescent="0.2">
      <c r="B121" s="9">
        <v>118</v>
      </c>
      <c r="C121" s="1">
        <v>45210</v>
      </c>
      <c r="D121" t="s">
        <v>7</v>
      </c>
      <c r="E121">
        <v>66.900000000000006</v>
      </c>
      <c r="F121">
        <v>59.7</v>
      </c>
      <c r="J121" s="10"/>
    </row>
    <row r="122" spans="2:10" x14ac:dyDescent="0.2">
      <c r="B122" s="9">
        <v>119</v>
      </c>
      <c r="C122" s="1">
        <v>45210</v>
      </c>
      <c r="D122" t="s">
        <v>7</v>
      </c>
      <c r="E122">
        <v>69.900000000000006</v>
      </c>
      <c r="F122">
        <v>62.4</v>
      </c>
      <c r="J122" s="10"/>
    </row>
    <row r="123" spans="2:10" x14ac:dyDescent="0.2">
      <c r="B123" s="9">
        <v>120</v>
      </c>
      <c r="C123" s="1">
        <v>45210</v>
      </c>
      <c r="D123" t="s">
        <v>5</v>
      </c>
      <c r="F123">
        <v>77.900000000000006</v>
      </c>
      <c r="J123" s="10" t="s">
        <v>64</v>
      </c>
    </row>
    <row r="124" spans="2:10" x14ac:dyDescent="0.2">
      <c r="B124" s="9">
        <v>121</v>
      </c>
      <c r="C124" s="1">
        <v>45210</v>
      </c>
      <c r="D124" t="s">
        <v>7</v>
      </c>
      <c r="E124">
        <v>53</v>
      </c>
      <c r="F124">
        <v>47.3</v>
      </c>
      <c r="H124" t="s">
        <v>37</v>
      </c>
      <c r="J124" s="10"/>
    </row>
    <row r="125" spans="2:10" ht="17" thickBot="1" x14ac:dyDescent="0.25">
      <c r="B125" s="11">
        <v>122</v>
      </c>
      <c r="C125" s="12">
        <v>45210</v>
      </c>
      <c r="D125" s="13" t="s">
        <v>6</v>
      </c>
      <c r="E125" s="13">
        <v>22</v>
      </c>
      <c r="F125" s="13">
        <v>20</v>
      </c>
      <c r="G125" s="13"/>
      <c r="H125" s="13" t="s">
        <v>47</v>
      </c>
      <c r="I125" s="13"/>
      <c r="J125" s="14"/>
    </row>
    <row r="126" spans="2:10" x14ac:dyDescent="0.2">
      <c r="B126" s="5">
        <v>123</v>
      </c>
      <c r="C126" s="6">
        <v>45245</v>
      </c>
      <c r="D126" s="7" t="s">
        <v>7</v>
      </c>
      <c r="E126" s="7">
        <v>59.8</v>
      </c>
      <c r="F126" s="7">
        <v>53.4</v>
      </c>
      <c r="G126" s="7"/>
      <c r="H126" s="7"/>
      <c r="I126" s="7"/>
      <c r="J126" s="8"/>
    </row>
    <row r="127" spans="2:10" x14ac:dyDescent="0.2">
      <c r="B127" s="9">
        <v>124</v>
      </c>
      <c r="C127" s="1">
        <v>45245</v>
      </c>
      <c r="D127" t="s">
        <v>7</v>
      </c>
      <c r="E127">
        <v>57.7</v>
      </c>
      <c r="F127">
        <v>51.5</v>
      </c>
      <c r="H127" t="s">
        <v>37</v>
      </c>
      <c r="J127" s="10"/>
    </row>
    <row r="128" spans="2:10" x14ac:dyDescent="0.2">
      <c r="B128" s="9">
        <v>125</v>
      </c>
      <c r="C128" s="1">
        <v>45245</v>
      </c>
      <c r="D128" t="s">
        <v>5</v>
      </c>
      <c r="F128">
        <v>82.4</v>
      </c>
      <c r="J128" s="10" t="s">
        <v>79</v>
      </c>
    </row>
    <row r="129" spans="2:10" x14ac:dyDescent="0.2">
      <c r="B129" s="9">
        <v>126</v>
      </c>
      <c r="C129" s="1">
        <v>45245</v>
      </c>
      <c r="D129" t="s">
        <v>7</v>
      </c>
      <c r="E129">
        <v>77.8</v>
      </c>
      <c r="F129">
        <v>69.5</v>
      </c>
      <c r="J129" s="10"/>
    </row>
    <row r="130" spans="2:10" x14ac:dyDescent="0.2">
      <c r="B130" s="9">
        <v>127</v>
      </c>
      <c r="C130" s="1">
        <v>45245</v>
      </c>
      <c r="D130" t="s">
        <v>5</v>
      </c>
      <c r="F130">
        <v>82.8</v>
      </c>
      <c r="J130" s="10" t="s">
        <v>78</v>
      </c>
    </row>
    <row r="131" spans="2:10" x14ac:dyDescent="0.2">
      <c r="B131" s="9">
        <v>128</v>
      </c>
      <c r="C131" s="1">
        <v>45245</v>
      </c>
      <c r="D131" t="s">
        <v>7</v>
      </c>
      <c r="E131">
        <v>63.4</v>
      </c>
      <c r="F131">
        <v>56.6</v>
      </c>
      <c r="G131">
        <v>0.12</v>
      </c>
      <c r="H131" t="s">
        <v>37</v>
      </c>
      <c r="I131">
        <v>8</v>
      </c>
      <c r="J131" s="10"/>
    </row>
    <row r="132" spans="2:10" x14ac:dyDescent="0.2">
      <c r="B132" s="9">
        <v>129</v>
      </c>
      <c r="C132" s="1">
        <v>45245</v>
      </c>
      <c r="D132" t="s">
        <v>5</v>
      </c>
      <c r="F132">
        <v>76.5</v>
      </c>
      <c r="J132" s="10" t="s">
        <v>80</v>
      </c>
    </row>
    <row r="133" spans="2:10" x14ac:dyDescent="0.2">
      <c r="B133" s="9">
        <v>130</v>
      </c>
      <c r="C133" s="1">
        <v>45245</v>
      </c>
      <c r="D133" t="s">
        <v>7</v>
      </c>
      <c r="E133">
        <v>71.599999999999994</v>
      </c>
      <c r="F133">
        <v>63.9</v>
      </c>
      <c r="G133">
        <v>0.17</v>
      </c>
      <c r="H133" t="s">
        <v>37</v>
      </c>
      <c r="I133">
        <v>10</v>
      </c>
      <c r="J133" s="10"/>
    </row>
    <row r="134" spans="2:10" ht="17" thickBot="1" x14ac:dyDescent="0.25">
      <c r="B134" s="11">
        <v>131</v>
      </c>
      <c r="C134" s="12">
        <v>45245</v>
      </c>
      <c r="D134" s="13" t="s">
        <v>7</v>
      </c>
      <c r="E134" s="13">
        <v>64.400000000000006</v>
      </c>
      <c r="F134" s="13">
        <v>57.5</v>
      </c>
      <c r="G134" s="13">
        <v>0.13</v>
      </c>
      <c r="H134" s="13" t="s">
        <v>37</v>
      </c>
      <c r="I134" s="13">
        <v>10</v>
      </c>
      <c r="J134" s="14"/>
    </row>
    <row r="135" spans="2:10" x14ac:dyDescent="0.2">
      <c r="B135" s="5">
        <v>132</v>
      </c>
      <c r="C135" s="6">
        <v>45315</v>
      </c>
      <c r="D135" s="7" t="s">
        <v>7</v>
      </c>
      <c r="E135" s="7">
        <v>46.3</v>
      </c>
      <c r="F135" s="7">
        <v>41.3</v>
      </c>
      <c r="G135" s="7">
        <v>0.2</v>
      </c>
      <c r="H135" s="7" t="s">
        <v>57</v>
      </c>
      <c r="I135" s="7">
        <v>10</v>
      </c>
      <c r="J135" s="8"/>
    </row>
    <row r="136" spans="2:10" x14ac:dyDescent="0.2">
      <c r="B136" s="9">
        <v>133</v>
      </c>
      <c r="C136" s="1">
        <v>45315</v>
      </c>
      <c r="D136" t="s">
        <v>7</v>
      </c>
      <c r="E136">
        <v>66.5</v>
      </c>
      <c r="F136">
        <v>59.4</v>
      </c>
      <c r="G136">
        <v>0.1</v>
      </c>
      <c r="H136" t="s">
        <v>58</v>
      </c>
      <c r="I136">
        <v>10</v>
      </c>
      <c r="J136" s="10"/>
    </row>
    <row r="137" spans="2:10" x14ac:dyDescent="0.2">
      <c r="B137" s="9">
        <v>134</v>
      </c>
      <c r="C137" s="1">
        <v>45315</v>
      </c>
      <c r="D137" t="s">
        <v>7</v>
      </c>
      <c r="E137">
        <v>78.3</v>
      </c>
      <c r="F137">
        <v>69.900000000000006</v>
      </c>
      <c r="G137">
        <v>0.13</v>
      </c>
      <c r="I137">
        <v>10</v>
      </c>
      <c r="J137" s="10"/>
    </row>
    <row r="138" spans="2:10" x14ac:dyDescent="0.2">
      <c r="B138" s="9">
        <v>135</v>
      </c>
      <c r="C138" s="1">
        <v>45315</v>
      </c>
      <c r="D138" t="s">
        <v>7</v>
      </c>
      <c r="E138">
        <v>79.599999999999994</v>
      </c>
      <c r="F138">
        <v>71.099999999999994</v>
      </c>
      <c r="G138">
        <v>0.14000000000000001</v>
      </c>
      <c r="I138">
        <v>10</v>
      </c>
      <c r="J138" s="10"/>
    </row>
    <row r="139" spans="2:10" x14ac:dyDescent="0.2">
      <c r="B139" s="9">
        <v>136</v>
      </c>
      <c r="C139" s="1">
        <v>45315</v>
      </c>
      <c r="D139" t="s">
        <v>7</v>
      </c>
      <c r="E139">
        <v>74.900000000000006</v>
      </c>
      <c r="F139">
        <v>66.900000000000006</v>
      </c>
      <c r="G139">
        <v>0.18</v>
      </c>
      <c r="I139">
        <v>10</v>
      </c>
      <c r="J139" s="10"/>
    </row>
    <row r="140" spans="2:10" x14ac:dyDescent="0.2">
      <c r="B140" s="9">
        <v>137</v>
      </c>
      <c r="C140" s="1">
        <v>45315</v>
      </c>
      <c r="D140" t="s">
        <v>7</v>
      </c>
      <c r="E140">
        <v>65.2</v>
      </c>
      <c r="F140">
        <v>58.2</v>
      </c>
      <c r="G140">
        <v>0.15</v>
      </c>
      <c r="H140" t="s">
        <v>57</v>
      </c>
      <c r="I140">
        <v>10</v>
      </c>
      <c r="J140" s="10"/>
    </row>
    <row r="141" spans="2:10" x14ac:dyDescent="0.2">
      <c r="B141" s="9">
        <v>138</v>
      </c>
      <c r="C141" s="1">
        <v>45315</v>
      </c>
      <c r="D141" t="s">
        <v>5</v>
      </c>
      <c r="F141">
        <v>84.1</v>
      </c>
      <c r="G141">
        <v>0.09</v>
      </c>
      <c r="J141" s="10" t="s">
        <v>118</v>
      </c>
    </row>
    <row r="142" spans="2:10" x14ac:dyDescent="0.2">
      <c r="B142" s="9">
        <v>139</v>
      </c>
      <c r="C142" s="1">
        <v>45315</v>
      </c>
      <c r="D142" t="s">
        <v>7</v>
      </c>
      <c r="E142">
        <v>77.099999999999994</v>
      </c>
      <c r="F142">
        <v>68.8</v>
      </c>
      <c r="G142">
        <v>0.14000000000000001</v>
      </c>
      <c r="I142">
        <v>10</v>
      </c>
      <c r="J142" s="10"/>
    </row>
    <row r="143" spans="2:10" x14ac:dyDescent="0.2">
      <c r="B143" s="9">
        <v>140</v>
      </c>
      <c r="C143" s="1">
        <v>45315</v>
      </c>
      <c r="D143" t="s">
        <v>61</v>
      </c>
      <c r="E143" t="s">
        <v>62</v>
      </c>
      <c r="F143" t="s">
        <v>62</v>
      </c>
      <c r="G143">
        <v>0.2</v>
      </c>
      <c r="J143" s="10" t="s">
        <v>60</v>
      </c>
    </row>
    <row r="144" spans="2:10" x14ac:dyDescent="0.2">
      <c r="B144" s="9">
        <v>141</v>
      </c>
      <c r="C144" s="1">
        <v>45315</v>
      </c>
      <c r="D144" t="s">
        <v>7</v>
      </c>
      <c r="E144">
        <v>77.2</v>
      </c>
      <c r="F144">
        <v>68.900000000000006</v>
      </c>
      <c r="G144">
        <v>0.17</v>
      </c>
      <c r="I144">
        <v>20</v>
      </c>
      <c r="J144" s="10"/>
    </row>
    <row r="145" spans="2:10" x14ac:dyDescent="0.2">
      <c r="B145" s="9">
        <v>142</v>
      </c>
      <c r="C145" s="1">
        <v>45315</v>
      </c>
      <c r="D145" t="s">
        <v>7</v>
      </c>
      <c r="E145">
        <v>74.099999999999994</v>
      </c>
      <c r="F145">
        <v>66.2</v>
      </c>
      <c r="G145">
        <v>0.15</v>
      </c>
      <c r="I145">
        <v>10</v>
      </c>
      <c r="J145" s="10"/>
    </row>
    <row r="146" spans="2:10" x14ac:dyDescent="0.2">
      <c r="B146" s="9">
        <v>143</v>
      </c>
      <c r="C146" s="1">
        <v>45315</v>
      </c>
      <c r="D146" t="s">
        <v>7</v>
      </c>
      <c r="E146">
        <v>60.9</v>
      </c>
      <c r="F146">
        <v>54.4</v>
      </c>
      <c r="G146">
        <v>0.08</v>
      </c>
      <c r="H146" t="s">
        <v>18</v>
      </c>
      <c r="J146" s="10" t="s">
        <v>65</v>
      </c>
    </row>
    <row r="147" spans="2:10" x14ac:dyDescent="0.2">
      <c r="B147" s="9">
        <v>144</v>
      </c>
      <c r="C147" s="1">
        <v>45315</v>
      </c>
      <c r="D147" t="s">
        <v>7</v>
      </c>
      <c r="E147">
        <v>63.1</v>
      </c>
      <c r="F147">
        <v>56.3</v>
      </c>
      <c r="G147">
        <v>0.24</v>
      </c>
      <c r="H147" t="s">
        <v>18</v>
      </c>
      <c r="J147" s="10" t="s">
        <v>66</v>
      </c>
    </row>
    <row r="148" spans="2:10" x14ac:dyDescent="0.2">
      <c r="B148" s="9">
        <v>145</v>
      </c>
      <c r="C148" s="1">
        <v>45315</v>
      </c>
      <c r="D148" t="s">
        <v>5</v>
      </c>
      <c r="F148">
        <v>74.3</v>
      </c>
      <c r="G148">
        <v>0.15</v>
      </c>
      <c r="J148" s="10" t="s">
        <v>67</v>
      </c>
    </row>
    <row r="149" spans="2:10" ht="17" thickBot="1" x14ac:dyDescent="0.25">
      <c r="B149" s="11">
        <v>146</v>
      </c>
      <c r="C149" s="12">
        <v>45315</v>
      </c>
      <c r="D149" s="13" t="s">
        <v>7</v>
      </c>
      <c r="E149" s="13">
        <v>67.5</v>
      </c>
      <c r="F149" s="13">
        <v>65</v>
      </c>
      <c r="G149" s="13">
        <v>0.19</v>
      </c>
      <c r="H149" s="13"/>
      <c r="I149" s="13"/>
      <c r="J149" s="14"/>
    </row>
    <row r="150" spans="2:10" x14ac:dyDescent="0.2">
      <c r="B150" s="5">
        <v>147</v>
      </c>
      <c r="C150" s="6">
        <v>45352</v>
      </c>
      <c r="D150" s="7" t="s">
        <v>7</v>
      </c>
      <c r="E150" s="7">
        <v>82.4</v>
      </c>
      <c r="F150" s="7">
        <v>73.599999999999994</v>
      </c>
      <c r="G150" s="7">
        <v>0.34</v>
      </c>
      <c r="H150" s="7"/>
      <c r="I150" s="7"/>
      <c r="J150" s="8"/>
    </row>
    <row r="151" spans="2:10" x14ac:dyDescent="0.2">
      <c r="B151" s="9">
        <v>148</v>
      </c>
      <c r="C151" s="1">
        <v>45352</v>
      </c>
      <c r="D151" t="s">
        <v>7</v>
      </c>
      <c r="E151">
        <v>61.8</v>
      </c>
      <c r="F151">
        <v>55.2</v>
      </c>
      <c r="G151">
        <v>0.14000000000000001</v>
      </c>
      <c r="H151" t="s">
        <v>18</v>
      </c>
      <c r="I151">
        <v>10</v>
      </c>
      <c r="J151" s="10"/>
    </row>
    <row r="152" spans="2:10" x14ac:dyDescent="0.2">
      <c r="B152" s="9">
        <v>149</v>
      </c>
      <c r="C152" s="1">
        <v>45352</v>
      </c>
      <c r="D152" t="s">
        <v>7</v>
      </c>
      <c r="E152">
        <v>61.5</v>
      </c>
      <c r="F152">
        <v>54.9</v>
      </c>
      <c r="G152">
        <v>0.18</v>
      </c>
      <c r="H152" t="s">
        <v>37</v>
      </c>
      <c r="I152">
        <v>10</v>
      </c>
      <c r="J152" s="10"/>
    </row>
    <row r="153" spans="2:10" x14ac:dyDescent="0.2">
      <c r="B153" s="9">
        <v>150</v>
      </c>
      <c r="C153" s="1">
        <v>45352</v>
      </c>
      <c r="D153" t="s">
        <v>7</v>
      </c>
      <c r="E153">
        <v>70.400000000000006</v>
      </c>
      <c r="F153">
        <v>62.8</v>
      </c>
      <c r="G153">
        <v>0.15</v>
      </c>
      <c r="H153" t="s">
        <v>37</v>
      </c>
      <c r="I153">
        <v>10</v>
      </c>
      <c r="J153" s="10"/>
    </row>
    <row r="154" spans="2:10" x14ac:dyDescent="0.2">
      <c r="B154" s="9">
        <v>151</v>
      </c>
      <c r="C154" s="1">
        <v>45352</v>
      </c>
      <c r="D154" t="s">
        <v>5</v>
      </c>
      <c r="F154">
        <v>76.3</v>
      </c>
      <c r="G154">
        <v>0.1</v>
      </c>
      <c r="J154" s="10" t="s">
        <v>83</v>
      </c>
    </row>
    <row r="155" spans="2:10" x14ac:dyDescent="0.2">
      <c r="B155" s="9">
        <v>152</v>
      </c>
      <c r="C155" s="1">
        <v>45352</v>
      </c>
      <c r="D155" t="s">
        <v>21</v>
      </c>
      <c r="F155">
        <v>75.2</v>
      </c>
      <c r="G155">
        <v>0.13</v>
      </c>
      <c r="J155" s="10" t="s">
        <v>84</v>
      </c>
    </row>
    <row r="156" spans="2:10" x14ac:dyDescent="0.2">
      <c r="B156" s="9">
        <v>153</v>
      </c>
      <c r="C156" s="1">
        <v>45352</v>
      </c>
      <c r="D156" t="s">
        <v>7</v>
      </c>
      <c r="E156">
        <v>75.7</v>
      </c>
      <c r="F156">
        <v>67.599999999999994</v>
      </c>
      <c r="G156">
        <v>0.17</v>
      </c>
      <c r="H156" t="s">
        <v>37</v>
      </c>
      <c r="I156">
        <v>8.3000000000000007</v>
      </c>
      <c r="J156" s="10" t="s">
        <v>149</v>
      </c>
    </row>
    <row r="157" spans="2:10" x14ac:dyDescent="0.2">
      <c r="B157" s="9">
        <v>154</v>
      </c>
      <c r="C157" s="1">
        <v>45352</v>
      </c>
      <c r="D157" t="s">
        <v>7</v>
      </c>
      <c r="E157">
        <v>73.3</v>
      </c>
      <c r="F157">
        <v>65.400000000000006</v>
      </c>
      <c r="G157">
        <v>0.16</v>
      </c>
      <c r="I157">
        <v>10</v>
      </c>
      <c r="J157" s="10"/>
    </row>
    <row r="158" spans="2:10" x14ac:dyDescent="0.2">
      <c r="B158" s="9">
        <v>155</v>
      </c>
      <c r="C158" s="1">
        <v>45352</v>
      </c>
      <c r="D158" t="s">
        <v>7</v>
      </c>
      <c r="E158">
        <v>83.6</v>
      </c>
      <c r="F158">
        <v>74.599999999999994</v>
      </c>
      <c r="I158">
        <v>30</v>
      </c>
      <c r="J158" s="10" t="s">
        <v>91</v>
      </c>
    </row>
    <row r="159" spans="2:10" ht="17" thickBot="1" x14ac:dyDescent="0.25">
      <c r="B159" s="11">
        <v>156</v>
      </c>
      <c r="C159" s="12">
        <v>45352</v>
      </c>
      <c r="D159" s="13" t="s">
        <v>7</v>
      </c>
      <c r="E159" s="13">
        <v>76.2</v>
      </c>
      <c r="F159" s="13">
        <v>68</v>
      </c>
      <c r="G159" s="13"/>
      <c r="H159" s="13" t="s">
        <v>18</v>
      </c>
      <c r="I159" s="13">
        <v>15</v>
      </c>
      <c r="J159" s="14" t="s">
        <v>92</v>
      </c>
    </row>
    <row r="160" spans="2:10" x14ac:dyDescent="0.2">
      <c r="B160" s="5">
        <v>157</v>
      </c>
      <c r="C160" s="6">
        <v>45392</v>
      </c>
      <c r="D160" s="7" t="s">
        <v>7</v>
      </c>
      <c r="E160" s="7">
        <v>52.2</v>
      </c>
      <c r="F160" s="7">
        <v>46.6</v>
      </c>
      <c r="G160" s="7">
        <v>0.18</v>
      </c>
      <c r="H160" s="7" t="s">
        <v>18</v>
      </c>
      <c r="I160" s="7">
        <v>10</v>
      </c>
      <c r="J160" s="8"/>
    </row>
    <row r="161" spans="2:11" x14ac:dyDescent="0.2">
      <c r="B161" s="9">
        <v>158</v>
      </c>
      <c r="C161" s="1">
        <v>45392</v>
      </c>
      <c r="D161" t="s">
        <v>21</v>
      </c>
      <c r="F161">
        <v>78.2</v>
      </c>
      <c r="G161">
        <v>7.0000000000000007E-2</v>
      </c>
      <c r="J161" s="10" t="s">
        <v>102</v>
      </c>
    </row>
    <row r="162" spans="2:11" x14ac:dyDescent="0.2">
      <c r="B162" s="9">
        <v>159</v>
      </c>
      <c r="C162" s="1">
        <v>45392</v>
      </c>
      <c r="D162" t="s">
        <v>6</v>
      </c>
      <c r="F162">
        <v>14.7</v>
      </c>
      <c r="G162">
        <v>0.17</v>
      </c>
      <c r="H162" t="s">
        <v>38</v>
      </c>
      <c r="I162">
        <v>15</v>
      </c>
      <c r="J162" s="10"/>
    </row>
    <row r="163" spans="2:11" x14ac:dyDescent="0.2">
      <c r="B163" s="9">
        <v>160</v>
      </c>
      <c r="C163" s="1">
        <v>45392</v>
      </c>
      <c r="D163" t="s">
        <v>6</v>
      </c>
      <c r="F163">
        <v>14.6</v>
      </c>
      <c r="G163">
        <v>0.19</v>
      </c>
      <c r="H163" t="s">
        <v>38</v>
      </c>
      <c r="I163">
        <v>20</v>
      </c>
      <c r="J163" s="10" t="s">
        <v>93</v>
      </c>
    </row>
    <row r="164" spans="2:11" x14ac:dyDescent="0.2">
      <c r="B164" s="9">
        <v>161</v>
      </c>
      <c r="C164" s="1">
        <v>45392</v>
      </c>
      <c r="D164" t="s">
        <v>6</v>
      </c>
      <c r="F164">
        <v>14.5</v>
      </c>
      <c r="G164">
        <v>0.2</v>
      </c>
      <c r="H164" t="s">
        <v>38</v>
      </c>
      <c r="I164">
        <v>15</v>
      </c>
      <c r="J164" s="10"/>
    </row>
    <row r="165" spans="2:11" x14ac:dyDescent="0.2">
      <c r="B165" s="9">
        <v>162</v>
      </c>
      <c r="C165" s="1">
        <v>45392</v>
      </c>
      <c r="D165" t="s">
        <v>7</v>
      </c>
      <c r="E165">
        <v>74.5</v>
      </c>
      <c r="F165">
        <v>66.5</v>
      </c>
      <c r="G165">
        <v>0.15</v>
      </c>
      <c r="H165" t="s">
        <v>37</v>
      </c>
      <c r="I165">
        <v>10</v>
      </c>
      <c r="J165" s="10"/>
    </row>
    <row r="166" spans="2:11" x14ac:dyDescent="0.2">
      <c r="B166" s="9">
        <v>163</v>
      </c>
      <c r="C166" s="1">
        <v>45392</v>
      </c>
      <c r="D166" t="s">
        <v>7</v>
      </c>
      <c r="E166">
        <v>58.7</v>
      </c>
      <c r="F166">
        <v>52.4</v>
      </c>
      <c r="G166">
        <v>0.08</v>
      </c>
      <c r="H166" t="s">
        <v>37</v>
      </c>
      <c r="I166">
        <v>10</v>
      </c>
      <c r="J166" s="10" t="s">
        <v>94</v>
      </c>
    </row>
    <row r="167" spans="2:11" x14ac:dyDescent="0.2">
      <c r="B167" s="9">
        <v>164</v>
      </c>
      <c r="C167" s="1">
        <v>45392</v>
      </c>
      <c r="D167" t="s">
        <v>7</v>
      </c>
      <c r="E167">
        <v>75.3</v>
      </c>
      <c r="F167">
        <v>67.2</v>
      </c>
      <c r="G167">
        <v>0.15</v>
      </c>
      <c r="I167">
        <v>8</v>
      </c>
      <c r="J167" s="10"/>
    </row>
    <row r="168" spans="2:11" x14ac:dyDescent="0.2">
      <c r="B168" s="9">
        <v>165</v>
      </c>
      <c r="C168" s="1">
        <v>45392</v>
      </c>
      <c r="D168" t="s">
        <v>5</v>
      </c>
      <c r="F168">
        <v>76.099999999999994</v>
      </c>
      <c r="G168">
        <v>0.15</v>
      </c>
      <c r="J168" s="10" t="s">
        <v>95</v>
      </c>
    </row>
    <row r="169" spans="2:11" x14ac:dyDescent="0.2">
      <c r="B169" s="9">
        <v>166</v>
      </c>
      <c r="C169" s="1">
        <v>45392</v>
      </c>
      <c r="D169" t="s">
        <v>6</v>
      </c>
      <c r="F169">
        <v>15.8</v>
      </c>
      <c r="G169">
        <v>0.16</v>
      </c>
      <c r="H169" t="s">
        <v>38</v>
      </c>
      <c r="I169">
        <v>11</v>
      </c>
      <c r="J169" s="10" t="s">
        <v>148</v>
      </c>
    </row>
    <row r="170" spans="2:11" ht="17" thickBot="1" x14ac:dyDescent="0.25">
      <c r="B170" s="11">
        <v>167</v>
      </c>
      <c r="C170" s="12">
        <v>45392</v>
      </c>
      <c r="D170" s="13" t="s">
        <v>7</v>
      </c>
      <c r="E170" s="13">
        <v>91.5</v>
      </c>
      <c r="F170" s="13">
        <v>81.7</v>
      </c>
      <c r="G170" s="13">
        <v>0.94</v>
      </c>
      <c r="H170" s="13"/>
      <c r="I170" s="13">
        <v>70</v>
      </c>
      <c r="J170" s="14"/>
    </row>
    <row r="171" spans="2:11" x14ac:dyDescent="0.2">
      <c r="B171" s="5">
        <v>168</v>
      </c>
      <c r="C171" s="6">
        <v>45462</v>
      </c>
      <c r="D171" s="7" t="s">
        <v>7</v>
      </c>
      <c r="E171" s="7">
        <v>70.7</v>
      </c>
      <c r="F171" s="7">
        <v>63.1</v>
      </c>
      <c r="G171" s="7">
        <v>0.17</v>
      </c>
      <c r="H171" s="7"/>
      <c r="I171" s="7">
        <v>10</v>
      </c>
      <c r="J171" s="8"/>
      <c r="K171" t="s">
        <v>99</v>
      </c>
    </row>
    <row r="172" spans="2:11" x14ac:dyDescent="0.2">
      <c r="B172" s="9">
        <v>169</v>
      </c>
      <c r="C172" s="1">
        <v>45462</v>
      </c>
      <c r="D172" t="s">
        <v>7</v>
      </c>
      <c r="E172">
        <v>70.2</v>
      </c>
      <c r="F172">
        <v>62.7</v>
      </c>
      <c r="G172">
        <v>0.2</v>
      </c>
      <c r="I172">
        <v>10</v>
      </c>
      <c r="J172" s="10"/>
    </row>
    <row r="173" spans="2:11" x14ac:dyDescent="0.2">
      <c r="B173" s="9">
        <v>170</v>
      </c>
      <c r="C173" s="1">
        <v>45462</v>
      </c>
      <c r="D173" t="s">
        <v>6</v>
      </c>
      <c r="E173">
        <v>16.600000000000001</v>
      </c>
      <c r="F173">
        <v>15.1</v>
      </c>
      <c r="H173" t="s">
        <v>38</v>
      </c>
      <c r="J173" s="10" t="s">
        <v>101</v>
      </c>
    </row>
    <row r="174" spans="2:11" x14ac:dyDescent="0.2">
      <c r="B174" s="9">
        <v>171</v>
      </c>
      <c r="C174" s="1">
        <v>45462</v>
      </c>
      <c r="D174" t="s">
        <v>7</v>
      </c>
      <c r="E174">
        <v>64.2</v>
      </c>
      <c r="F174">
        <v>57.3</v>
      </c>
      <c r="G174">
        <v>0.18</v>
      </c>
      <c r="I174">
        <v>10</v>
      </c>
      <c r="J174" s="10"/>
    </row>
    <row r="175" spans="2:11" x14ac:dyDescent="0.2">
      <c r="B175" s="9">
        <v>172</v>
      </c>
      <c r="C175" s="1">
        <v>45462</v>
      </c>
      <c r="D175" t="s">
        <v>7</v>
      </c>
      <c r="E175">
        <v>69.400000000000006</v>
      </c>
      <c r="F175">
        <v>62</v>
      </c>
      <c r="G175">
        <v>0.17</v>
      </c>
      <c r="H175" t="s">
        <v>37</v>
      </c>
      <c r="I175">
        <v>10</v>
      </c>
      <c r="J175" s="10"/>
    </row>
    <row r="176" spans="2:11" x14ac:dyDescent="0.2">
      <c r="B176" s="9">
        <v>173</v>
      </c>
      <c r="C176" s="1">
        <v>45462</v>
      </c>
      <c r="D176" t="s">
        <v>7</v>
      </c>
      <c r="E176">
        <v>69</v>
      </c>
      <c r="F176">
        <v>61.6</v>
      </c>
      <c r="G176">
        <v>0.2</v>
      </c>
      <c r="H176" t="s">
        <v>37</v>
      </c>
      <c r="I176">
        <v>10</v>
      </c>
      <c r="J176" s="10"/>
    </row>
    <row r="177" spans="2:10" ht="17" thickBot="1" x14ac:dyDescent="0.25">
      <c r="B177" s="11">
        <v>174</v>
      </c>
      <c r="C177" s="12">
        <v>45462</v>
      </c>
      <c r="D177" s="13" t="s">
        <v>7</v>
      </c>
      <c r="E177" s="13">
        <v>44</v>
      </c>
      <c r="F177" s="13">
        <v>39.299999999999997</v>
      </c>
      <c r="G177" s="13">
        <v>0.14000000000000001</v>
      </c>
      <c r="H177" s="13" t="s">
        <v>18</v>
      </c>
      <c r="I177" s="13">
        <v>10</v>
      </c>
      <c r="J177" s="14" t="s">
        <v>100</v>
      </c>
    </row>
    <row r="178" spans="2:10" x14ac:dyDescent="0.2">
      <c r="B178" s="5">
        <v>175</v>
      </c>
      <c r="C178" s="6">
        <v>45483</v>
      </c>
      <c r="D178" s="7" t="s">
        <v>7</v>
      </c>
      <c r="E178" s="7">
        <v>70.3</v>
      </c>
      <c r="F178" s="7">
        <v>62.8</v>
      </c>
      <c r="G178" s="7">
        <v>0.08</v>
      </c>
      <c r="H178" s="7"/>
      <c r="I178" s="7">
        <v>10</v>
      </c>
      <c r="J178" s="8" t="s">
        <v>104</v>
      </c>
    </row>
    <row r="179" spans="2:10" x14ac:dyDescent="0.2">
      <c r="B179" s="9">
        <v>176</v>
      </c>
      <c r="C179" s="1">
        <v>45483</v>
      </c>
      <c r="D179" t="s">
        <v>7</v>
      </c>
      <c r="E179">
        <v>76.099999999999994</v>
      </c>
      <c r="F179">
        <v>67.900000000000006</v>
      </c>
      <c r="G179">
        <v>0.16</v>
      </c>
      <c r="I179">
        <v>10</v>
      </c>
      <c r="J179" s="10"/>
    </row>
    <row r="180" spans="2:10" x14ac:dyDescent="0.2">
      <c r="B180" s="9">
        <v>177</v>
      </c>
      <c r="C180" s="1">
        <v>45483</v>
      </c>
      <c r="D180" t="s">
        <v>7</v>
      </c>
      <c r="E180">
        <v>58.8</v>
      </c>
      <c r="F180">
        <v>52.5</v>
      </c>
      <c r="G180">
        <v>0.18</v>
      </c>
      <c r="I180">
        <v>10</v>
      </c>
      <c r="J180" s="10"/>
    </row>
    <row r="181" spans="2:10" x14ac:dyDescent="0.2">
      <c r="B181" s="9">
        <v>178</v>
      </c>
      <c r="C181" s="1">
        <v>45483</v>
      </c>
      <c r="D181" t="s">
        <v>7</v>
      </c>
      <c r="E181">
        <v>67.5</v>
      </c>
      <c r="F181">
        <v>60.3</v>
      </c>
      <c r="G181">
        <v>0.17</v>
      </c>
      <c r="I181">
        <v>10</v>
      </c>
      <c r="J181" s="10"/>
    </row>
    <row r="182" spans="2:10" x14ac:dyDescent="0.2">
      <c r="B182" s="9">
        <v>179</v>
      </c>
      <c r="C182" s="1">
        <v>45483</v>
      </c>
      <c r="D182" t="s">
        <v>5</v>
      </c>
      <c r="F182">
        <v>76.900000000000006</v>
      </c>
      <c r="G182">
        <v>0.14000000000000001</v>
      </c>
      <c r="J182" s="10" t="s">
        <v>105</v>
      </c>
    </row>
    <row r="183" spans="2:10" x14ac:dyDescent="0.2">
      <c r="B183" s="9">
        <v>180</v>
      </c>
      <c r="C183" s="1">
        <v>45483</v>
      </c>
      <c r="D183" t="s">
        <v>5</v>
      </c>
      <c r="F183">
        <v>73.2</v>
      </c>
      <c r="G183">
        <v>0.08</v>
      </c>
      <c r="J183" s="10" t="s">
        <v>106</v>
      </c>
    </row>
    <row r="184" spans="2:10" x14ac:dyDescent="0.2">
      <c r="B184" s="9">
        <v>181</v>
      </c>
      <c r="C184" s="1">
        <v>45483</v>
      </c>
      <c r="D184" t="s">
        <v>7</v>
      </c>
      <c r="E184">
        <v>71.7</v>
      </c>
      <c r="F184">
        <v>64</v>
      </c>
      <c r="G184">
        <v>0.26</v>
      </c>
      <c r="I184">
        <v>10</v>
      </c>
      <c r="J184" s="10"/>
    </row>
    <row r="185" spans="2:10" x14ac:dyDescent="0.2">
      <c r="B185" s="9">
        <v>182</v>
      </c>
      <c r="C185" s="1">
        <v>45483</v>
      </c>
      <c r="D185" t="s">
        <v>7</v>
      </c>
      <c r="E185">
        <v>56.5</v>
      </c>
      <c r="F185">
        <v>50.4</v>
      </c>
      <c r="G185">
        <v>0.13</v>
      </c>
      <c r="H185" t="s">
        <v>57</v>
      </c>
      <c r="I185">
        <v>10</v>
      </c>
      <c r="J185" s="10"/>
    </row>
    <row r="186" spans="2:10" x14ac:dyDescent="0.2">
      <c r="B186" s="9">
        <v>183</v>
      </c>
      <c r="C186" s="1">
        <v>45483</v>
      </c>
      <c r="D186" t="s">
        <v>6</v>
      </c>
      <c r="E186">
        <v>9.3000000000000007</v>
      </c>
      <c r="F186">
        <v>8.5</v>
      </c>
      <c r="G186">
        <v>0.16</v>
      </c>
      <c r="H186" t="s">
        <v>38</v>
      </c>
      <c r="I186">
        <v>20</v>
      </c>
      <c r="J186" s="10"/>
    </row>
    <row r="187" spans="2:10" x14ac:dyDescent="0.2">
      <c r="B187" s="9">
        <v>184</v>
      </c>
      <c r="C187" s="1">
        <v>45483</v>
      </c>
      <c r="D187" t="s">
        <v>7</v>
      </c>
      <c r="E187">
        <v>68.2</v>
      </c>
      <c r="F187">
        <v>60.9</v>
      </c>
      <c r="G187">
        <v>0.17</v>
      </c>
      <c r="H187" t="s">
        <v>37</v>
      </c>
      <c r="J187" s="10" t="s">
        <v>107</v>
      </c>
    </row>
    <row r="188" spans="2:10" x14ac:dyDescent="0.2">
      <c r="B188" s="9">
        <v>185</v>
      </c>
      <c r="C188" s="1">
        <v>45483</v>
      </c>
      <c r="D188" t="s">
        <v>7</v>
      </c>
      <c r="E188">
        <v>73.099999999999994</v>
      </c>
      <c r="F188">
        <v>65.3</v>
      </c>
      <c r="G188">
        <v>0.5</v>
      </c>
      <c r="H188" t="s">
        <v>37</v>
      </c>
      <c r="I188">
        <v>30</v>
      </c>
      <c r="J188" s="10" t="s">
        <v>108</v>
      </c>
    </row>
    <row r="189" spans="2:10" x14ac:dyDescent="0.2">
      <c r="B189" s="9">
        <v>186</v>
      </c>
      <c r="C189" s="1">
        <v>45483</v>
      </c>
      <c r="D189" t="s">
        <v>5</v>
      </c>
      <c r="F189">
        <v>79.099999999999994</v>
      </c>
      <c r="J189" s="10" t="s">
        <v>109</v>
      </c>
    </row>
    <row r="190" spans="2:10" x14ac:dyDescent="0.2">
      <c r="B190" s="9">
        <v>187</v>
      </c>
      <c r="C190" s="1">
        <v>45483</v>
      </c>
      <c r="D190" t="s">
        <v>7</v>
      </c>
      <c r="E190">
        <v>72</v>
      </c>
      <c r="F190">
        <v>64.3</v>
      </c>
      <c r="G190">
        <v>0.14000000000000001</v>
      </c>
      <c r="I190">
        <v>10</v>
      </c>
      <c r="J190" s="10"/>
    </row>
    <row r="191" spans="2:10" x14ac:dyDescent="0.2">
      <c r="B191" s="9">
        <v>188</v>
      </c>
      <c r="C191" s="1">
        <v>45483</v>
      </c>
      <c r="D191" t="s">
        <v>7</v>
      </c>
      <c r="E191">
        <v>75.5</v>
      </c>
      <c r="F191">
        <v>67.400000000000006</v>
      </c>
      <c r="G191">
        <v>0.14000000000000001</v>
      </c>
      <c r="I191">
        <v>10</v>
      </c>
      <c r="J191" s="10"/>
    </row>
    <row r="192" spans="2:10" x14ac:dyDescent="0.2">
      <c r="B192" s="9">
        <v>189</v>
      </c>
      <c r="C192" s="1">
        <v>45483</v>
      </c>
      <c r="D192" t="s">
        <v>5</v>
      </c>
      <c r="F192">
        <v>78.7</v>
      </c>
      <c r="G192">
        <v>0.1</v>
      </c>
      <c r="J192" s="10" t="s">
        <v>111</v>
      </c>
    </row>
    <row r="193" spans="2:10" x14ac:dyDescent="0.2">
      <c r="B193" s="9">
        <v>190</v>
      </c>
      <c r="C193" s="1">
        <v>45483</v>
      </c>
      <c r="D193" t="s">
        <v>6</v>
      </c>
      <c r="E193">
        <v>12.6</v>
      </c>
      <c r="F193">
        <v>11.5</v>
      </c>
      <c r="G193">
        <v>3.6</v>
      </c>
      <c r="H193" t="s">
        <v>38</v>
      </c>
      <c r="I193">
        <v>30</v>
      </c>
      <c r="J193" s="10" t="s">
        <v>110</v>
      </c>
    </row>
    <row r="194" spans="2:10" x14ac:dyDescent="0.2">
      <c r="B194" s="9">
        <v>191</v>
      </c>
      <c r="C194" s="1">
        <v>45483</v>
      </c>
      <c r="D194" t="s">
        <v>7</v>
      </c>
      <c r="E194">
        <v>64.3</v>
      </c>
      <c r="F194">
        <v>57.4</v>
      </c>
      <c r="G194">
        <v>0.19</v>
      </c>
      <c r="H194" t="s">
        <v>37</v>
      </c>
      <c r="I194">
        <v>10</v>
      </c>
      <c r="J194" s="10"/>
    </row>
    <row r="195" spans="2:10" x14ac:dyDescent="0.2">
      <c r="B195" s="9">
        <v>192</v>
      </c>
      <c r="C195" s="1">
        <v>45483</v>
      </c>
      <c r="D195" t="s">
        <v>5</v>
      </c>
      <c r="F195">
        <v>80.099999999999994</v>
      </c>
      <c r="I195">
        <v>10</v>
      </c>
      <c r="J195" s="10" t="s">
        <v>112</v>
      </c>
    </row>
    <row r="196" spans="2:10" ht="17" thickBot="1" x14ac:dyDescent="0.25">
      <c r="B196" s="11">
        <v>193</v>
      </c>
      <c r="C196" s="12">
        <v>45483</v>
      </c>
      <c r="D196" s="13" t="s">
        <v>7</v>
      </c>
      <c r="E196" s="13">
        <v>69.400000000000006</v>
      </c>
      <c r="F196" s="13">
        <v>62</v>
      </c>
      <c r="G196" s="13">
        <v>0.19</v>
      </c>
      <c r="H196" s="13" t="s">
        <v>37</v>
      </c>
      <c r="I196" s="13">
        <v>10</v>
      </c>
      <c r="J196" s="14"/>
    </row>
    <row r="197" spans="2:10" x14ac:dyDescent="0.2">
      <c r="B197" s="5">
        <v>194</v>
      </c>
      <c r="C197" s="6">
        <v>45518</v>
      </c>
      <c r="D197" s="7" t="s">
        <v>6</v>
      </c>
      <c r="E197" s="7">
        <v>17.399999999999999</v>
      </c>
      <c r="F197" s="7">
        <v>15.8</v>
      </c>
      <c r="G197" s="7">
        <v>0.23</v>
      </c>
      <c r="H197" s="7" t="s">
        <v>38</v>
      </c>
      <c r="I197" s="7">
        <v>15</v>
      </c>
      <c r="J197" s="8"/>
    </row>
    <row r="198" spans="2:10" x14ac:dyDescent="0.2">
      <c r="B198" s="9">
        <v>195</v>
      </c>
      <c r="C198" s="1">
        <v>45518</v>
      </c>
      <c r="D198" t="s">
        <v>7</v>
      </c>
      <c r="E198">
        <v>37.5</v>
      </c>
      <c r="F198">
        <v>33.5</v>
      </c>
      <c r="G198">
        <v>0.16</v>
      </c>
      <c r="I198">
        <v>10</v>
      </c>
      <c r="J198" s="10" t="s">
        <v>113</v>
      </c>
    </row>
    <row r="199" spans="2:10" x14ac:dyDescent="0.2">
      <c r="B199" s="9">
        <v>196</v>
      </c>
      <c r="C199" s="1">
        <v>45518</v>
      </c>
      <c r="D199" t="s">
        <v>7</v>
      </c>
      <c r="E199">
        <v>70.2</v>
      </c>
      <c r="F199">
        <v>62.7</v>
      </c>
      <c r="G199">
        <v>0.16</v>
      </c>
      <c r="I199">
        <v>8</v>
      </c>
      <c r="J199" s="10"/>
    </row>
    <row r="200" spans="2:10" x14ac:dyDescent="0.2">
      <c r="B200" s="9">
        <v>197</v>
      </c>
      <c r="C200" s="1">
        <v>45518</v>
      </c>
      <c r="D200" t="s">
        <v>7</v>
      </c>
      <c r="E200">
        <v>59.5</v>
      </c>
      <c r="F200">
        <v>66.599999999999994</v>
      </c>
      <c r="G200">
        <v>0.18</v>
      </c>
      <c r="I200">
        <v>10</v>
      </c>
      <c r="J200" s="10"/>
    </row>
    <row r="201" spans="2:10" x14ac:dyDescent="0.2">
      <c r="B201" s="9">
        <v>198</v>
      </c>
      <c r="C201" s="1">
        <v>45518</v>
      </c>
      <c r="D201" t="s">
        <v>6</v>
      </c>
      <c r="E201">
        <v>9.1</v>
      </c>
      <c r="F201">
        <v>8.3000000000000007</v>
      </c>
      <c r="G201">
        <v>0.19</v>
      </c>
      <c r="H201" t="s">
        <v>38</v>
      </c>
      <c r="I201">
        <v>15</v>
      </c>
      <c r="J201" s="10"/>
    </row>
    <row r="202" spans="2:10" x14ac:dyDescent="0.2">
      <c r="B202" s="9">
        <v>199</v>
      </c>
      <c r="C202" s="1">
        <v>45518</v>
      </c>
      <c r="D202" t="s">
        <v>5</v>
      </c>
      <c r="F202">
        <v>73.599999999999994</v>
      </c>
      <c r="G202">
        <v>0.15</v>
      </c>
      <c r="J202" s="10" t="s">
        <v>114</v>
      </c>
    </row>
    <row r="203" spans="2:10" x14ac:dyDescent="0.2">
      <c r="B203" s="9">
        <v>200</v>
      </c>
      <c r="C203" s="1">
        <v>45518</v>
      </c>
      <c r="D203" t="s">
        <v>7</v>
      </c>
      <c r="E203">
        <v>56.1</v>
      </c>
      <c r="F203">
        <v>50.1</v>
      </c>
      <c r="G203">
        <v>0.24</v>
      </c>
      <c r="H203" t="s">
        <v>37</v>
      </c>
      <c r="I203">
        <v>10</v>
      </c>
      <c r="J203" s="10" t="s">
        <v>113</v>
      </c>
    </row>
    <row r="204" spans="2:10" x14ac:dyDescent="0.2">
      <c r="B204" s="9">
        <v>201</v>
      </c>
      <c r="C204" s="1">
        <v>45518</v>
      </c>
      <c r="D204" t="s">
        <v>7</v>
      </c>
      <c r="E204">
        <v>46.3</v>
      </c>
      <c r="F204">
        <v>41.3</v>
      </c>
      <c r="G204">
        <v>0.14000000000000001</v>
      </c>
      <c r="I204">
        <v>10</v>
      </c>
      <c r="J204" s="10"/>
    </row>
    <row r="205" spans="2:10" x14ac:dyDescent="0.2">
      <c r="B205" s="9">
        <v>202</v>
      </c>
      <c r="C205" s="1">
        <v>45518</v>
      </c>
      <c r="D205" t="s">
        <v>7</v>
      </c>
      <c r="E205">
        <v>52.4</v>
      </c>
      <c r="F205">
        <v>46.8</v>
      </c>
      <c r="G205">
        <v>0.17</v>
      </c>
      <c r="H205" t="s">
        <v>37</v>
      </c>
      <c r="I205">
        <v>10</v>
      </c>
      <c r="J205" s="10"/>
    </row>
    <row r="206" spans="2:10" x14ac:dyDescent="0.2">
      <c r="B206" s="9">
        <v>203</v>
      </c>
      <c r="C206" s="1">
        <v>45518</v>
      </c>
      <c r="D206" t="s">
        <v>5</v>
      </c>
      <c r="F206">
        <v>74.3</v>
      </c>
      <c r="G206">
        <v>0.23</v>
      </c>
      <c r="J206" s="10" t="s">
        <v>115</v>
      </c>
    </row>
    <row r="207" spans="2:10" x14ac:dyDescent="0.2">
      <c r="B207" s="9">
        <v>204</v>
      </c>
      <c r="C207" s="1">
        <v>45518</v>
      </c>
      <c r="D207" t="s">
        <v>7</v>
      </c>
      <c r="E207">
        <v>69.400000000000006</v>
      </c>
      <c r="F207">
        <v>62</v>
      </c>
      <c r="G207">
        <v>0.2</v>
      </c>
      <c r="I207">
        <v>10</v>
      </c>
      <c r="J207" s="10"/>
    </row>
    <row r="208" spans="2:10" x14ac:dyDescent="0.2">
      <c r="B208" s="9">
        <v>205</v>
      </c>
      <c r="C208" s="1">
        <v>45518</v>
      </c>
      <c r="D208" t="s">
        <v>5</v>
      </c>
      <c r="F208">
        <v>78.7</v>
      </c>
      <c r="G208">
        <v>0.15</v>
      </c>
      <c r="J208" s="10" t="s">
        <v>116</v>
      </c>
    </row>
    <row r="209" spans="2:10" x14ac:dyDescent="0.2">
      <c r="B209" s="9">
        <v>206</v>
      </c>
      <c r="C209" s="1">
        <v>45518</v>
      </c>
      <c r="D209" t="s">
        <v>7</v>
      </c>
      <c r="E209">
        <v>55.6</v>
      </c>
      <c r="F209">
        <v>49.6</v>
      </c>
      <c r="G209">
        <v>0.19</v>
      </c>
      <c r="H209" t="s">
        <v>37</v>
      </c>
      <c r="I209">
        <v>10</v>
      </c>
      <c r="J209" s="10"/>
    </row>
    <row r="210" spans="2:10" ht="17" thickBot="1" x14ac:dyDescent="0.25">
      <c r="B210" s="11">
        <v>207</v>
      </c>
      <c r="C210" s="12">
        <v>45518</v>
      </c>
      <c r="D210" s="13" t="s">
        <v>7</v>
      </c>
      <c r="E210" s="13">
        <v>80.599999999999994</v>
      </c>
      <c r="F210" s="13">
        <v>72</v>
      </c>
      <c r="G210" s="13">
        <v>0.1</v>
      </c>
      <c r="H210" s="13"/>
      <c r="I210" s="13">
        <v>10</v>
      </c>
      <c r="J210" s="14" t="s">
        <v>117</v>
      </c>
    </row>
    <row r="211" spans="2:10" x14ac:dyDescent="0.2">
      <c r="B211" s="5">
        <v>208</v>
      </c>
      <c r="C211" s="6">
        <v>45553</v>
      </c>
      <c r="D211" s="7" t="s">
        <v>7</v>
      </c>
      <c r="E211" s="7">
        <v>92.7</v>
      </c>
      <c r="F211" s="7">
        <v>82.8</v>
      </c>
      <c r="G211" s="7">
        <v>0.91</v>
      </c>
      <c r="H211" s="7"/>
      <c r="I211" s="7">
        <v>100</v>
      </c>
      <c r="J211" s="8" t="s">
        <v>119</v>
      </c>
    </row>
    <row r="212" spans="2:10" x14ac:dyDescent="0.2">
      <c r="B212" s="9">
        <v>209</v>
      </c>
      <c r="C212" s="1">
        <v>45553</v>
      </c>
      <c r="D212" t="s">
        <v>7</v>
      </c>
      <c r="E212">
        <v>82.3</v>
      </c>
      <c r="F212">
        <v>73.5</v>
      </c>
      <c r="G212">
        <v>0.48</v>
      </c>
      <c r="I212">
        <v>35</v>
      </c>
      <c r="J212" s="10" t="s">
        <v>120</v>
      </c>
    </row>
    <row r="213" spans="2:10" x14ac:dyDescent="0.2">
      <c r="B213" s="9">
        <v>210</v>
      </c>
      <c r="C213" s="1">
        <v>45553</v>
      </c>
      <c r="D213" t="s">
        <v>5</v>
      </c>
      <c r="F213">
        <v>79.900000000000006</v>
      </c>
      <c r="G213">
        <v>0.08</v>
      </c>
      <c r="J213" s="10" t="s">
        <v>121</v>
      </c>
    </row>
    <row r="214" spans="2:10" x14ac:dyDescent="0.2">
      <c r="B214" s="9">
        <v>211</v>
      </c>
      <c r="C214" s="1">
        <v>45553</v>
      </c>
      <c r="D214" t="s">
        <v>7</v>
      </c>
      <c r="E214">
        <v>56</v>
      </c>
      <c r="F214">
        <v>50</v>
      </c>
      <c r="G214">
        <v>0.18</v>
      </c>
      <c r="H214" t="s">
        <v>37</v>
      </c>
      <c r="I214">
        <v>10</v>
      </c>
      <c r="J214" s="10"/>
    </row>
    <row r="215" spans="2:10" x14ac:dyDescent="0.2">
      <c r="B215" s="9">
        <v>212</v>
      </c>
      <c r="C215" s="1">
        <v>45553</v>
      </c>
      <c r="D215" t="s">
        <v>7</v>
      </c>
      <c r="E215">
        <v>75.2</v>
      </c>
      <c r="F215">
        <v>67.099999999999994</v>
      </c>
      <c r="G215">
        <v>0.17</v>
      </c>
      <c r="I215">
        <v>10</v>
      </c>
      <c r="J215" s="10"/>
    </row>
    <row r="216" spans="2:10" x14ac:dyDescent="0.2">
      <c r="B216" s="9">
        <v>213</v>
      </c>
      <c r="C216" s="1">
        <v>45553</v>
      </c>
      <c r="D216" t="s">
        <v>7</v>
      </c>
      <c r="E216">
        <v>42.9</v>
      </c>
      <c r="F216">
        <v>38.299999999999997</v>
      </c>
      <c r="G216">
        <v>0.13</v>
      </c>
      <c r="H216" t="s">
        <v>37</v>
      </c>
      <c r="I216">
        <v>8</v>
      </c>
      <c r="J216" s="10"/>
    </row>
    <row r="217" spans="2:10" x14ac:dyDescent="0.2">
      <c r="B217" s="9">
        <v>214</v>
      </c>
      <c r="C217" s="1">
        <v>45553</v>
      </c>
      <c r="D217" t="s">
        <v>7</v>
      </c>
      <c r="E217">
        <v>60.7</v>
      </c>
      <c r="F217">
        <v>54.2</v>
      </c>
      <c r="G217">
        <v>0.15</v>
      </c>
      <c r="H217" t="s">
        <v>37</v>
      </c>
      <c r="I217">
        <v>10</v>
      </c>
      <c r="J217" s="10"/>
    </row>
    <row r="218" spans="2:10" x14ac:dyDescent="0.2">
      <c r="B218" s="9">
        <v>215</v>
      </c>
      <c r="C218" s="1">
        <v>45553</v>
      </c>
      <c r="D218" t="s">
        <v>7</v>
      </c>
      <c r="E218">
        <v>63.6</v>
      </c>
      <c r="F218">
        <v>56.8</v>
      </c>
      <c r="G218">
        <v>0.08</v>
      </c>
      <c r="I218">
        <v>10</v>
      </c>
      <c r="J218" s="10" t="s">
        <v>122</v>
      </c>
    </row>
    <row r="219" spans="2:10" x14ac:dyDescent="0.2">
      <c r="B219" s="9">
        <v>216</v>
      </c>
      <c r="C219" s="1">
        <v>45553</v>
      </c>
      <c r="D219" t="s">
        <v>7</v>
      </c>
      <c r="E219">
        <v>68.3</v>
      </c>
      <c r="F219">
        <v>61</v>
      </c>
      <c r="G219">
        <v>0.17</v>
      </c>
      <c r="I219">
        <v>10</v>
      </c>
      <c r="J219" s="10"/>
    </row>
    <row r="220" spans="2:10" x14ac:dyDescent="0.2">
      <c r="B220" s="9">
        <v>217</v>
      </c>
      <c r="C220" s="1">
        <v>45553</v>
      </c>
      <c r="D220" t="s">
        <v>7</v>
      </c>
      <c r="E220">
        <v>71.5</v>
      </c>
      <c r="F220">
        <v>63.8</v>
      </c>
      <c r="G220">
        <v>0.11</v>
      </c>
      <c r="I220">
        <v>9</v>
      </c>
      <c r="J220" s="10"/>
    </row>
    <row r="221" spans="2:10" x14ac:dyDescent="0.2">
      <c r="B221" s="9">
        <v>218</v>
      </c>
      <c r="C221" s="1">
        <v>45553</v>
      </c>
      <c r="D221" t="s">
        <v>7</v>
      </c>
      <c r="E221">
        <v>72.599999999999994</v>
      </c>
      <c r="F221">
        <v>64.8</v>
      </c>
      <c r="G221">
        <v>0.17</v>
      </c>
      <c r="I221">
        <v>10</v>
      </c>
      <c r="J221" s="10"/>
    </row>
    <row r="222" spans="2:10" x14ac:dyDescent="0.2">
      <c r="B222" s="9">
        <v>219</v>
      </c>
      <c r="C222" s="1">
        <v>45553</v>
      </c>
      <c r="D222" t="s">
        <v>7</v>
      </c>
      <c r="E222">
        <v>71.5</v>
      </c>
      <c r="F222">
        <v>63.8</v>
      </c>
      <c r="G222">
        <v>0.13</v>
      </c>
      <c r="I222">
        <v>10</v>
      </c>
      <c r="J222" s="10"/>
    </row>
    <row r="223" spans="2:10" x14ac:dyDescent="0.2">
      <c r="B223" s="9">
        <v>220</v>
      </c>
      <c r="C223" s="1">
        <v>45553</v>
      </c>
      <c r="D223" t="s">
        <v>7</v>
      </c>
      <c r="E223">
        <v>78</v>
      </c>
      <c r="F223">
        <v>69.599999999999994</v>
      </c>
      <c r="G223">
        <v>0.45</v>
      </c>
      <c r="I223">
        <v>40</v>
      </c>
      <c r="J223" s="10"/>
    </row>
    <row r="224" spans="2:10" x14ac:dyDescent="0.2">
      <c r="B224" s="9">
        <v>221</v>
      </c>
      <c r="C224" s="1">
        <v>45553</v>
      </c>
      <c r="D224" t="s">
        <v>5</v>
      </c>
      <c r="F224">
        <v>83.2</v>
      </c>
      <c r="G224">
        <v>0.34</v>
      </c>
      <c r="J224" s="10" t="s">
        <v>123</v>
      </c>
    </row>
    <row r="225" spans="2:10" x14ac:dyDescent="0.2">
      <c r="B225" s="9">
        <v>222</v>
      </c>
      <c r="C225" s="1">
        <v>45553</v>
      </c>
      <c r="D225" t="s">
        <v>7</v>
      </c>
      <c r="E225">
        <v>68.7</v>
      </c>
      <c r="F225">
        <v>61.3</v>
      </c>
      <c r="G225">
        <v>0.18</v>
      </c>
      <c r="H225" t="s">
        <v>37</v>
      </c>
      <c r="I225">
        <v>10</v>
      </c>
      <c r="J225" s="10"/>
    </row>
    <row r="226" spans="2:10" x14ac:dyDescent="0.2">
      <c r="B226" s="9">
        <v>223</v>
      </c>
      <c r="C226" s="1">
        <v>45553</v>
      </c>
      <c r="D226" t="s">
        <v>7</v>
      </c>
      <c r="E226">
        <v>66.3</v>
      </c>
      <c r="F226">
        <v>59.2</v>
      </c>
      <c r="G226">
        <v>0.14000000000000001</v>
      </c>
      <c r="H226" t="s">
        <v>37</v>
      </c>
      <c r="I226">
        <v>10</v>
      </c>
      <c r="J226" s="10"/>
    </row>
    <row r="227" spans="2:10" x14ac:dyDescent="0.2">
      <c r="B227" s="9">
        <v>224</v>
      </c>
      <c r="C227" s="1">
        <v>45553</v>
      </c>
      <c r="D227" t="s">
        <v>5</v>
      </c>
      <c r="F227">
        <v>80.2</v>
      </c>
      <c r="G227">
        <v>0.1</v>
      </c>
      <c r="J227" s="10" t="s">
        <v>124</v>
      </c>
    </row>
    <row r="228" spans="2:10" x14ac:dyDescent="0.2">
      <c r="B228" s="9">
        <v>225</v>
      </c>
      <c r="C228" s="1">
        <v>45553</v>
      </c>
      <c r="D228" t="s">
        <v>7</v>
      </c>
      <c r="E228">
        <v>60.8</v>
      </c>
      <c r="F228">
        <v>54.3</v>
      </c>
      <c r="G228">
        <v>0.14000000000000001</v>
      </c>
      <c r="I228">
        <v>10</v>
      </c>
      <c r="J228" s="10"/>
    </row>
    <row r="229" spans="2:10" x14ac:dyDescent="0.2">
      <c r="B229" s="9">
        <v>226</v>
      </c>
      <c r="C229" s="1">
        <v>45553</v>
      </c>
      <c r="D229" t="s">
        <v>7</v>
      </c>
      <c r="E229">
        <v>66.599999999999994</v>
      </c>
      <c r="F229">
        <v>59.5</v>
      </c>
      <c r="G229">
        <v>0.32</v>
      </c>
      <c r="H229" t="s">
        <v>37</v>
      </c>
      <c r="I229">
        <v>20</v>
      </c>
      <c r="J229" s="10" t="s">
        <v>125</v>
      </c>
    </row>
    <row r="230" spans="2:10" ht="17" thickBot="1" x14ac:dyDescent="0.25">
      <c r="B230" s="11">
        <v>227</v>
      </c>
      <c r="C230" s="12">
        <v>45553</v>
      </c>
      <c r="D230" s="13" t="s">
        <v>7</v>
      </c>
      <c r="E230" s="13">
        <v>64.900000000000006</v>
      </c>
      <c r="F230" s="13">
        <v>57.9</v>
      </c>
      <c r="G230" s="13">
        <v>0.15</v>
      </c>
      <c r="H230" s="13" t="s">
        <v>37</v>
      </c>
      <c r="I230" s="13">
        <v>15</v>
      </c>
      <c r="J230" s="14"/>
    </row>
    <row r="231" spans="2:10" x14ac:dyDescent="0.2">
      <c r="B231" s="5">
        <v>228</v>
      </c>
      <c r="C231" s="6">
        <v>45567</v>
      </c>
      <c r="D231" s="7" t="s">
        <v>7</v>
      </c>
      <c r="E231" s="7">
        <v>63.4</v>
      </c>
      <c r="F231" s="7">
        <v>56.6</v>
      </c>
      <c r="G231" s="7">
        <v>0.2</v>
      </c>
      <c r="H231" s="7" t="s">
        <v>37</v>
      </c>
      <c r="I231" s="7">
        <v>10</v>
      </c>
      <c r="J231" s="8"/>
    </row>
    <row r="232" spans="2:10" x14ac:dyDescent="0.2">
      <c r="B232" s="9">
        <v>229</v>
      </c>
      <c r="C232" s="1">
        <v>45567</v>
      </c>
      <c r="D232" t="s">
        <v>7</v>
      </c>
      <c r="E232">
        <v>52.3</v>
      </c>
      <c r="F232">
        <v>46.7</v>
      </c>
      <c r="G232">
        <v>0.17</v>
      </c>
      <c r="I232">
        <v>10</v>
      </c>
      <c r="J232" s="10"/>
    </row>
    <row r="233" spans="2:10" x14ac:dyDescent="0.2">
      <c r="B233" s="9">
        <v>230</v>
      </c>
      <c r="C233" s="1">
        <v>45567</v>
      </c>
      <c r="D233" t="s">
        <v>7</v>
      </c>
      <c r="E233">
        <v>56.6</v>
      </c>
      <c r="F233">
        <v>50.5</v>
      </c>
      <c r="G233">
        <v>0.18</v>
      </c>
      <c r="I233">
        <v>10</v>
      </c>
      <c r="J233" s="10"/>
    </row>
    <row r="234" spans="2:10" x14ac:dyDescent="0.2">
      <c r="B234" s="9">
        <v>231</v>
      </c>
      <c r="C234" s="1">
        <v>45567</v>
      </c>
      <c r="D234" t="s">
        <v>7</v>
      </c>
      <c r="E234">
        <v>81.400000000000006</v>
      </c>
      <c r="F234">
        <v>72.7</v>
      </c>
      <c r="G234">
        <v>0.15</v>
      </c>
      <c r="I234">
        <v>10</v>
      </c>
      <c r="J234" s="10"/>
    </row>
    <row r="235" spans="2:10" x14ac:dyDescent="0.2">
      <c r="B235" s="9">
        <v>232</v>
      </c>
      <c r="C235" s="1">
        <v>45567</v>
      </c>
      <c r="D235" t="s">
        <v>5</v>
      </c>
      <c r="F235">
        <v>87.1</v>
      </c>
      <c r="G235">
        <v>0.38</v>
      </c>
      <c r="J235" s="10" t="s">
        <v>143</v>
      </c>
    </row>
    <row r="236" spans="2:10" x14ac:dyDescent="0.2">
      <c r="B236" s="9">
        <v>233</v>
      </c>
      <c r="C236" s="1">
        <v>45567</v>
      </c>
      <c r="D236" t="s">
        <v>7</v>
      </c>
      <c r="E236">
        <v>73.2</v>
      </c>
      <c r="F236">
        <v>65.3</v>
      </c>
      <c r="G236">
        <v>0.19</v>
      </c>
      <c r="I236">
        <v>10</v>
      </c>
      <c r="J236" s="10"/>
    </row>
    <row r="237" spans="2:10" x14ac:dyDescent="0.2">
      <c r="B237" s="9">
        <v>234</v>
      </c>
      <c r="C237" s="1">
        <v>45567</v>
      </c>
      <c r="D237" t="s">
        <v>155</v>
      </c>
      <c r="F237" s="18">
        <v>18.600000000000001</v>
      </c>
      <c r="I237">
        <v>10</v>
      </c>
      <c r="J237" s="10" t="s">
        <v>200</v>
      </c>
    </row>
    <row r="238" spans="2:10" x14ac:dyDescent="0.2">
      <c r="B238" s="9">
        <v>235</v>
      </c>
      <c r="C238" s="1">
        <v>45567</v>
      </c>
      <c r="D238" t="s">
        <v>7</v>
      </c>
      <c r="E238">
        <v>80</v>
      </c>
      <c r="F238">
        <v>71.400000000000006</v>
      </c>
      <c r="G238">
        <v>0.16</v>
      </c>
      <c r="I238">
        <v>10</v>
      </c>
      <c r="J238" s="10"/>
    </row>
    <row r="239" spans="2:10" x14ac:dyDescent="0.2">
      <c r="B239" s="9">
        <v>236</v>
      </c>
      <c r="C239" s="1">
        <v>45567</v>
      </c>
      <c r="D239" t="s">
        <v>7</v>
      </c>
      <c r="E239">
        <v>53.4</v>
      </c>
      <c r="F239">
        <v>47.7</v>
      </c>
      <c r="G239">
        <v>0.2</v>
      </c>
      <c r="I239">
        <v>8</v>
      </c>
      <c r="J239" s="10"/>
    </row>
    <row r="240" spans="2:10" x14ac:dyDescent="0.2">
      <c r="B240" s="9">
        <v>237</v>
      </c>
      <c r="C240" s="1">
        <v>45567</v>
      </c>
      <c r="D240" t="s">
        <v>6</v>
      </c>
      <c r="E240">
        <v>7.6</v>
      </c>
      <c r="F240">
        <v>6.9</v>
      </c>
      <c r="G240">
        <v>0.2</v>
      </c>
      <c r="H240" t="s">
        <v>38</v>
      </c>
      <c r="J240" s="10" t="s">
        <v>144</v>
      </c>
    </row>
    <row r="241" spans="2:10" x14ac:dyDescent="0.2">
      <c r="B241" s="9">
        <v>238</v>
      </c>
      <c r="C241" s="1">
        <v>45567</v>
      </c>
      <c r="D241" t="s">
        <v>6</v>
      </c>
      <c r="E241">
        <v>12.2</v>
      </c>
      <c r="F241">
        <v>11.1</v>
      </c>
      <c r="G241">
        <v>0.18</v>
      </c>
      <c r="H241" t="s">
        <v>38</v>
      </c>
      <c r="J241" s="10" t="s">
        <v>144</v>
      </c>
    </row>
    <row r="242" spans="2:10" x14ac:dyDescent="0.2">
      <c r="B242" s="9">
        <v>239</v>
      </c>
      <c r="C242" s="1">
        <v>45567</v>
      </c>
      <c r="D242" t="s">
        <v>7</v>
      </c>
      <c r="E242">
        <v>70.5</v>
      </c>
      <c r="F242">
        <v>62.9</v>
      </c>
      <c r="G242">
        <v>0.19</v>
      </c>
      <c r="H242" t="s">
        <v>37</v>
      </c>
      <c r="I242">
        <v>8</v>
      </c>
      <c r="J242" s="10"/>
    </row>
    <row r="243" spans="2:10" x14ac:dyDescent="0.2">
      <c r="B243" s="9">
        <v>240</v>
      </c>
      <c r="C243" s="1">
        <v>45567</v>
      </c>
      <c r="D243" t="s">
        <v>7</v>
      </c>
      <c r="E243">
        <v>80.099999999999994</v>
      </c>
      <c r="F243">
        <v>71.5</v>
      </c>
      <c r="G243">
        <v>0.14000000000000001</v>
      </c>
      <c r="I243">
        <v>7.5</v>
      </c>
      <c r="J243" s="10" t="s">
        <v>150</v>
      </c>
    </row>
    <row r="244" spans="2:10" x14ac:dyDescent="0.2">
      <c r="B244" s="9">
        <v>241</v>
      </c>
      <c r="C244" s="1">
        <v>45567</v>
      </c>
      <c r="D244" t="s">
        <v>151</v>
      </c>
      <c r="F244">
        <v>35.9</v>
      </c>
      <c r="J244" s="10" t="s">
        <v>153</v>
      </c>
    </row>
    <row r="245" spans="2:10" x14ac:dyDescent="0.2">
      <c r="B245" s="9">
        <v>242</v>
      </c>
      <c r="C245" s="1">
        <v>45567</v>
      </c>
      <c r="D245" t="s">
        <v>7</v>
      </c>
      <c r="E245">
        <v>83</v>
      </c>
      <c r="F245">
        <v>74.099999999999994</v>
      </c>
      <c r="G245">
        <v>0.16</v>
      </c>
      <c r="I245">
        <v>10</v>
      </c>
      <c r="J245" s="10"/>
    </row>
    <row r="246" spans="2:10" x14ac:dyDescent="0.2">
      <c r="B246" s="9">
        <v>243</v>
      </c>
      <c r="C246" s="1">
        <v>45567</v>
      </c>
      <c r="D246" t="s">
        <v>151</v>
      </c>
      <c r="F246">
        <v>36.799999999999997</v>
      </c>
      <c r="J246" s="10" t="s">
        <v>154</v>
      </c>
    </row>
    <row r="247" spans="2:10" x14ac:dyDescent="0.2">
      <c r="B247" s="9">
        <v>244</v>
      </c>
      <c r="C247" s="1">
        <v>45567</v>
      </c>
      <c r="D247" t="s">
        <v>6</v>
      </c>
      <c r="E247">
        <v>15.6</v>
      </c>
      <c r="F247">
        <v>14.2</v>
      </c>
      <c r="G247">
        <v>0.16</v>
      </c>
      <c r="H247" t="s">
        <v>38</v>
      </c>
      <c r="J247" s="10"/>
    </row>
    <row r="248" spans="2:10" x14ac:dyDescent="0.2">
      <c r="B248" s="9">
        <v>245</v>
      </c>
      <c r="C248" s="1">
        <v>45567</v>
      </c>
      <c r="D248" t="s">
        <v>7</v>
      </c>
      <c r="E248">
        <v>79</v>
      </c>
      <c r="F248">
        <v>70.5</v>
      </c>
      <c r="G248">
        <v>0.19</v>
      </c>
      <c r="I248">
        <v>10</v>
      </c>
      <c r="J248" s="10"/>
    </row>
    <row r="249" spans="2:10" x14ac:dyDescent="0.2">
      <c r="B249" s="9">
        <v>246</v>
      </c>
      <c r="C249" s="1">
        <v>45567</v>
      </c>
      <c r="D249" t="s">
        <v>7</v>
      </c>
      <c r="E249">
        <v>93.3</v>
      </c>
      <c r="F249">
        <v>83.3</v>
      </c>
      <c r="G249">
        <v>0.15</v>
      </c>
      <c r="I249">
        <v>10</v>
      </c>
      <c r="J249" s="10"/>
    </row>
    <row r="250" spans="2:10" x14ac:dyDescent="0.2">
      <c r="B250" s="9">
        <v>247</v>
      </c>
      <c r="C250" s="1">
        <v>45567</v>
      </c>
      <c r="D250" t="s">
        <v>152</v>
      </c>
      <c r="F250">
        <v>21.7</v>
      </c>
      <c r="J250" s="10"/>
    </row>
    <row r="251" spans="2:10" ht="17" thickBot="1" x14ac:dyDescent="0.25">
      <c r="B251" s="11">
        <v>248</v>
      </c>
      <c r="C251" s="12">
        <v>45567</v>
      </c>
      <c r="D251" s="13" t="s">
        <v>152</v>
      </c>
      <c r="E251" s="13"/>
      <c r="F251" s="13">
        <v>19.2</v>
      </c>
      <c r="G251" s="13"/>
      <c r="H251" s="13"/>
      <c r="I251" s="13"/>
      <c r="J251" s="14"/>
    </row>
    <row r="252" spans="2:10" x14ac:dyDescent="0.2">
      <c r="B252" s="5">
        <v>249</v>
      </c>
      <c r="C252" s="6">
        <v>45581</v>
      </c>
      <c r="D252" s="7" t="s">
        <v>151</v>
      </c>
      <c r="E252" s="7"/>
      <c r="F252" s="7">
        <v>15.5</v>
      </c>
      <c r="G252" s="7"/>
      <c r="H252" s="7"/>
      <c r="I252" s="7"/>
      <c r="J252" s="8"/>
    </row>
    <row r="253" spans="2:10" x14ac:dyDescent="0.2">
      <c r="B253" s="9">
        <v>250</v>
      </c>
      <c r="C253" s="1">
        <v>45581</v>
      </c>
      <c r="D253" t="s">
        <v>156</v>
      </c>
      <c r="F253">
        <v>19.899999999999999</v>
      </c>
      <c r="J253" s="10" t="s">
        <v>157</v>
      </c>
    </row>
    <row r="254" spans="2:10" x14ac:dyDescent="0.2">
      <c r="B254" s="9">
        <v>251</v>
      </c>
      <c r="C254" s="1">
        <v>45581</v>
      </c>
      <c r="D254" t="s">
        <v>7</v>
      </c>
      <c r="E254">
        <v>48.4</v>
      </c>
      <c r="F254">
        <v>43.2</v>
      </c>
      <c r="G254">
        <v>0.16</v>
      </c>
      <c r="I254">
        <v>9</v>
      </c>
      <c r="J254" s="10" t="s">
        <v>158</v>
      </c>
    </row>
    <row r="255" spans="2:10" x14ac:dyDescent="0.2">
      <c r="B255" s="9">
        <v>252</v>
      </c>
      <c r="C255" s="1">
        <v>45581</v>
      </c>
      <c r="D255" t="s">
        <v>7</v>
      </c>
      <c r="E255">
        <v>63.5</v>
      </c>
      <c r="F255">
        <v>56.7</v>
      </c>
      <c r="G255">
        <v>0.15</v>
      </c>
      <c r="I255">
        <v>10</v>
      </c>
      <c r="J255" s="10"/>
    </row>
    <row r="256" spans="2:10" x14ac:dyDescent="0.2">
      <c r="B256" s="9">
        <v>253</v>
      </c>
      <c r="C256" s="1">
        <v>45581</v>
      </c>
      <c r="D256" t="s">
        <v>21</v>
      </c>
      <c r="F256">
        <v>75.7</v>
      </c>
      <c r="G256">
        <v>0.1</v>
      </c>
      <c r="J256" s="10" t="s">
        <v>165</v>
      </c>
    </row>
    <row r="257" spans="2:10" x14ac:dyDescent="0.2">
      <c r="B257" s="9">
        <v>254</v>
      </c>
      <c r="C257" s="1">
        <v>45581</v>
      </c>
      <c r="D257" t="s">
        <v>7</v>
      </c>
      <c r="E257">
        <v>62.9</v>
      </c>
      <c r="F257">
        <v>56.2</v>
      </c>
      <c r="G257">
        <v>0.11</v>
      </c>
      <c r="I257">
        <v>10</v>
      </c>
      <c r="J257" s="10" t="s">
        <v>159</v>
      </c>
    </row>
    <row r="258" spans="2:10" x14ac:dyDescent="0.2">
      <c r="B258" s="9">
        <v>255</v>
      </c>
      <c r="C258" s="1">
        <v>45581</v>
      </c>
      <c r="D258" t="s">
        <v>7</v>
      </c>
      <c r="E258">
        <v>55.1</v>
      </c>
      <c r="F258">
        <v>49.2</v>
      </c>
      <c r="G258">
        <v>0.15</v>
      </c>
      <c r="I258">
        <v>8.3000000000000007</v>
      </c>
      <c r="J258" s="10" t="s">
        <v>160</v>
      </c>
    </row>
    <row r="259" spans="2:10" x14ac:dyDescent="0.2">
      <c r="B259" s="9">
        <v>256</v>
      </c>
      <c r="C259" s="1">
        <v>45581</v>
      </c>
      <c r="D259" t="s">
        <v>21</v>
      </c>
      <c r="F259">
        <v>69</v>
      </c>
      <c r="J259" s="10" t="s">
        <v>168</v>
      </c>
    </row>
    <row r="260" spans="2:10" x14ac:dyDescent="0.2">
      <c r="B260" s="9">
        <v>257</v>
      </c>
      <c r="C260" s="1">
        <v>45581</v>
      </c>
      <c r="D260" t="s">
        <v>7</v>
      </c>
      <c r="E260">
        <v>49.6</v>
      </c>
      <c r="F260">
        <v>44.3</v>
      </c>
      <c r="G260">
        <v>0.34</v>
      </c>
      <c r="I260">
        <v>20</v>
      </c>
      <c r="J260" s="10" t="s">
        <v>161</v>
      </c>
    </row>
    <row r="261" spans="2:10" x14ac:dyDescent="0.2">
      <c r="B261" s="9">
        <v>258</v>
      </c>
      <c r="C261" s="1">
        <v>45581</v>
      </c>
      <c r="D261" t="s">
        <v>21</v>
      </c>
      <c r="F261">
        <v>73.5</v>
      </c>
      <c r="G261">
        <v>0.27</v>
      </c>
      <c r="J261" s="10" t="s">
        <v>167</v>
      </c>
    </row>
    <row r="262" spans="2:10" x14ac:dyDescent="0.2">
      <c r="B262" s="9">
        <v>259</v>
      </c>
      <c r="C262" s="1">
        <v>45581</v>
      </c>
      <c r="D262" t="s">
        <v>7</v>
      </c>
      <c r="E262">
        <v>67</v>
      </c>
      <c r="F262">
        <v>59.8</v>
      </c>
      <c r="G262">
        <v>0.17</v>
      </c>
      <c r="H262" t="s">
        <v>37</v>
      </c>
      <c r="I262">
        <v>10</v>
      </c>
      <c r="J262" s="10"/>
    </row>
    <row r="263" spans="2:10" x14ac:dyDescent="0.2">
      <c r="B263" s="9">
        <v>260</v>
      </c>
      <c r="C263" s="1">
        <v>45581</v>
      </c>
      <c r="D263" t="s">
        <v>7</v>
      </c>
      <c r="E263">
        <v>67</v>
      </c>
      <c r="F263">
        <v>59.8</v>
      </c>
      <c r="G263">
        <v>0.15</v>
      </c>
      <c r="H263" t="s">
        <v>37</v>
      </c>
      <c r="I263">
        <v>10</v>
      </c>
      <c r="J263" s="10"/>
    </row>
    <row r="264" spans="2:10" ht="17" thickBot="1" x14ac:dyDescent="0.25">
      <c r="B264" s="11">
        <v>261</v>
      </c>
      <c r="C264" s="12">
        <v>45581</v>
      </c>
      <c r="D264" s="13" t="s">
        <v>7</v>
      </c>
      <c r="E264" s="13">
        <v>66.7</v>
      </c>
      <c r="F264" s="13">
        <v>59.5</v>
      </c>
      <c r="G264" s="13">
        <v>0.17</v>
      </c>
      <c r="H264" s="13" t="s">
        <v>37</v>
      </c>
      <c r="I264" s="13">
        <v>10</v>
      </c>
      <c r="J264" s="14"/>
    </row>
    <row r="265" spans="2:10" x14ac:dyDescent="0.2">
      <c r="B265" s="5">
        <v>262</v>
      </c>
      <c r="C265" s="6">
        <v>45595</v>
      </c>
      <c r="D265" s="7" t="s">
        <v>151</v>
      </c>
      <c r="E265" s="7"/>
      <c r="F265" s="7">
        <v>33.6</v>
      </c>
      <c r="G265" s="7"/>
      <c r="H265" s="7"/>
      <c r="I265" s="7"/>
      <c r="J265" s="8"/>
    </row>
    <row r="266" spans="2:10" x14ac:dyDescent="0.2">
      <c r="B266" s="9">
        <v>263</v>
      </c>
      <c r="C266" s="1">
        <v>45595</v>
      </c>
      <c r="D266" t="s">
        <v>152</v>
      </c>
      <c r="F266">
        <v>10.8</v>
      </c>
      <c r="J266" s="10" t="s">
        <v>170</v>
      </c>
    </row>
    <row r="267" spans="2:10" x14ac:dyDescent="0.2">
      <c r="B267" s="9">
        <v>264</v>
      </c>
      <c r="C267" s="1">
        <v>45595</v>
      </c>
      <c r="D267" t="s">
        <v>7</v>
      </c>
      <c r="E267">
        <v>72.2</v>
      </c>
      <c r="F267">
        <v>64.5</v>
      </c>
      <c r="G267">
        <v>0.16</v>
      </c>
      <c r="H267" t="s">
        <v>37</v>
      </c>
      <c r="I267">
        <v>10</v>
      </c>
      <c r="J267" s="10"/>
    </row>
    <row r="268" spans="2:10" x14ac:dyDescent="0.2">
      <c r="B268" s="9">
        <v>265</v>
      </c>
      <c r="C268" s="1">
        <v>45595</v>
      </c>
      <c r="D268" t="s">
        <v>7</v>
      </c>
      <c r="E268">
        <v>72.5</v>
      </c>
      <c r="F268">
        <v>64.7</v>
      </c>
      <c r="G268">
        <v>0.14000000000000001</v>
      </c>
      <c r="H268" t="s">
        <v>37</v>
      </c>
      <c r="I268">
        <v>10</v>
      </c>
      <c r="J268" s="10"/>
    </row>
    <row r="269" spans="2:10" x14ac:dyDescent="0.2">
      <c r="B269" s="9">
        <v>266</v>
      </c>
      <c r="C269" s="1">
        <v>45595</v>
      </c>
      <c r="D269" t="s">
        <v>7</v>
      </c>
      <c r="E269">
        <v>83</v>
      </c>
      <c r="F269">
        <v>74.099999999999994</v>
      </c>
      <c r="G269">
        <v>0.2</v>
      </c>
      <c r="I269">
        <v>10</v>
      </c>
      <c r="J269" s="10"/>
    </row>
    <row r="270" spans="2:10" x14ac:dyDescent="0.2">
      <c r="B270" s="9">
        <v>267</v>
      </c>
      <c r="C270" s="1">
        <v>45595</v>
      </c>
      <c r="D270" t="s">
        <v>5</v>
      </c>
      <c r="F270">
        <v>84.9</v>
      </c>
      <c r="G270">
        <v>0.11</v>
      </c>
      <c r="J270" s="10" t="s">
        <v>171</v>
      </c>
    </row>
    <row r="271" spans="2:10" x14ac:dyDescent="0.2">
      <c r="B271" s="9">
        <v>268</v>
      </c>
      <c r="C271" s="1">
        <v>45595</v>
      </c>
      <c r="D271" t="s">
        <v>7</v>
      </c>
      <c r="E271">
        <v>76.3</v>
      </c>
      <c r="F271">
        <v>68.099999999999994</v>
      </c>
      <c r="G271">
        <v>0.18</v>
      </c>
      <c r="I271">
        <v>10</v>
      </c>
      <c r="J271" s="10"/>
    </row>
    <row r="272" spans="2:10" x14ac:dyDescent="0.2">
      <c r="B272" s="9">
        <v>269</v>
      </c>
      <c r="C272" s="1">
        <v>45595</v>
      </c>
      <c r="D272" t="s">
        <v>5</v>
      </c>
      <c r="F272">
        <v>84.3</v>
      </c>
      <c r="G272">
        <v>0.13</v>
      </c>
      <c r="J272" s="10" t="s">
        <v>173</v>
      </c>
    </row>
    <row r="273" spans="2:10" x14ac:dyDescent="0.2">
      <c r="B273" s="9">
        <v>270</v>
      </c>
      <c r="C273" s="1">
        <v>45595</v>
      </c>
      <c r="D273" t="s">
        <v>7</v>
      </c>
      <c r="E273">
        <v>76.900000000000006</v>
      </c>
      <c r="F273">
        <v>68.7</v>
      </c>
      <c r="G273">
        <v>0.15</v>
      </c>
      <c r="I273">
        <v>10</v>
      </c>
      <c r="J273" s="10"/>
    </row>
    <row r="274" spans="2:10" x14ac:dyDescent="0.2">
      <c r="B274" s="9">
        <v>271</v>
      </c>
      <c r="C274" s="1">
        <v>45595</v>
      </c>
      <c r="D274" t="s">
        <v>7</v>
      </c>
      <c r="E274">
        <v>69.400000000000006</v>
      </c>
      <c r="F274">
        <v>62</v>
      </c>
      <c r="G274">
        <v>0.19</v>
      </c>
      <c r="H274" t="s">
        <v>37</v>
      </c>
      <c r="I274">
        <v>6</v>
      </c>
      <c r="J274" s="10"/>
    </row>
    <row r="275" spans="2:10" x14ac:dyDescent="0.2">
      <c r="B275" s="9">
        <v>272</v>
      </c>
      <c r="C275" s="1">
        <v>45595</v>
      </c>
      <c r="D275" t="s">
        <v>7</v>
      </c>
      <c r="E275">
        <v>68.5</v>
      </c>
      <c r="F275">
        <v>61.2</v>
      </c>
      <c r="G275">
        <v>0.18</v>
      </c>
      <c r="I275">
        <v>10</v>
      </c>
      <c r="J275" s="10"/>
    </row>
    <row r="276" spans="2:10" x14ac:dyDescent="0.2">
      <c r="B276" s="9">
        <v>273</v>
      </c>
      <c r="C276" s="1">
        <v>45595</v>
      </c>
      <c r="D276" t="s">
        <v>7</v>
      </c>
      <c r="E276">
        <v>65.099999999999994</v>
      </c>
      <c r="F276">
        <v>58.1</v>
      </c>
      <c r="G276">
        <v>0.16</v>
      </c>
      <c r="I276">
        <v>10</v>
      </c>
      <c r="J276" s="10"/>
    </row>
    <row r="277" spans="2:10" x14ac:dyDescent="0.2">
      <c r="B277" s="9">
        <v>274</v>
      </c>
      <c r="C277" s="1">
        <v>45595</v>
      </c>
      <c r="D277" t="s">
        <v>7</v>
      </c>
      <c r="E277">
        <v>65.900000000000006</v>
      </c>
      <c r="F277">
        <v>58.8</v>
      </c>
      <c r="G277">
        <v>0.16</v>
      </c>
      <c r="I277">
        <v>10</v>
      </c>
      <c r="J277" s="10"/>
    </row>
    <row r="278" spans="2:10" x14ac:dyDescent="0.2">
      <c r="B278" s="9">
        <v>275</v>
      </c>
      <c r="C278" s="1">
        <v>45595</v>
      </c>
      <c r="D278" t="s">
        <v>7</v>
      </c>
      <c r="E278">
        <v>63.4</v>
      </c>
      <c r="F278">
        <v>56.6</v>
      </c>
      <c r="G278">
        <v>0.17</v>
      </c>
      <c r="I278">
        <v>10</v>
      </c>
      <c r="J278" s="10"/>
    </row>
    <row r="279" spans="2:10" ht="17" thickBot="1" x14ac:dyDescent="0.25">
      <c r="B279" s="11">
        <v>276</v>
      </c>
      <c r="C279" s="12">
        <v>45595</v>
      </c>
      <c r="D279" s="13" t="s">
        <v>5</v>
      </c>
      <c r="E279" s="13"/>
      <c r="F279" s="13">
        <v>83.6</v>
      </c>
      <c r="G279" s="13">
        <v>0.1</v>
      </c>
      <c r="H279" s="13"/>
      <c r="I279" s="13"/>
      <c r="J279" s="14" t="s">
        <v>172</v>
      </c>
    </row>
    <row r="280" spans="2:10" x14ac:dyDescent="0.2">
      <c r="B280" s="5">
        <v>277</v>
      </c>
      <c r="C280" s="6">
        <v>45609</v>
      </c>
      <c r="D280" s="7" t="s">
        <v>185</v>
      </c>
      <c r="E280" s="7"/>
      <c r="F280" s="7"/>
      <c r="G280" s="7">
        <v>0.44</v>
      </c>
      <c r="H280" s="7"/>
      <c r="I280" s="7">
        <v>40</v>
      </c>
      <c r="J280" s="8" t="s">
        <v>184</v>
      </c>
    </row>
    <row r="281" spans="2:10" x14ac:dyDescent="0.2">
      <c r="B281" s="9">
        <v>278</v>
      </c>
      <c r="C281" s="1">
        <v>45609</v>
      </c>
      <c r="D281" t="s">
        <v>6</v>
      </c>
      <c r="E281">
        <v>20.3</v>
      </c>
      <c r="F281">
        <v>18.5</v>
      </c>
      <c r="G281">
        <v>0.11</v>
      </c>
      <c r="H281" t="s">
        <v>38</v>
      </c>
      <c r="J281" s="10" t="s">
        <v>180</v>
      </c>
    </row>
    <row r="282" spans="2:10" x14ac:dyDescent="0.2">
      <c r="B282" s="9">
        <v>279</v>
      </c>
      <c r="C282" s="1">
        <v>45609</v>
      </c>
      <c r="D282" t="s">
        <v>6</v>
      </c>
      <c r="E282">
        <v>45.3</v>
      </c>
      <c r="F282">
        <v>41.2</v>
      </c>
      <c r="G282">
        <v>0.16</v>
      </c>
      <c r="H282" t="s">
        <v>38</v>
      </c>
      <c r="J282" s="10" t="s">
        <v>181</v>
      </c>
    </row>
    <row r="283" spans="2:10" x14ac:dyDescent="0.2">
      <c r="B283" s="9">
        <v>280</v>
      </c>
      <c r="C283" s="1">
        <v>45609</v>
      </c>
      <c r="D283" t="s">
        <v>6</v>
      </c>
      <c r="E283">
        <v>17.5</v>
      </c>
      <c r="F283">
        <v>15.9</v>
      </c>
      <c r="H283" t="s">
        <v>38</v>
      </c>
      <c r="J283" s="10"/>
    </row>
    <row r="284" spans="2:10" x14ac:dyDescent="0.2">
      <c r="B284" s="9">
        <v>281</v>
      </c>
      <c r="C284" s="1">
        <v>45609</v>
      </c>
      <c r="D284" t="s">
        <v>152</v>
      </c>
      <c r="F284">
        <v>26.2</v>
      </c>
      <c r="J284" s="10"/>
    </row>
    <row r="285" spans="2:10" x14ac:dyDescent="0.2">
      <c r="B285" s="9">
        <v>282</v>
      </c>
      <c r="C285" s="1">
        <v>45609</v>
      </c>
      <c r="D285" t="s">
        <v>7</v>
      </c>
      <c r="E285">
        <v>60.7</v>
      </c>
      <c r="F285">
        <v>54.2</v>
      </c>
      <c r="J285" s="10" t="s">
        <v>182</v>
      </c>
    </row>
    <row r="286" spans="2:10" x14ac:dyDescent="0.2">
      <c r="B286" s="9">
        <v>283</v>
      </c>
      <c r="C286" s="1">
        <v>45609</v>
      </c>
      <c r="D286" t="s">
        <v>5</v>
      </c>
      <c r="F286">
        <v>78.7</v>
      </c>
      <c r="J286" s="10" t="s">
        <v>183</v>
      </c>
    </row>
    <row r="287" spans="2:10" x14ac:dyDescent="0.2">
      <c r="B287" s="9">
        <v>284</v>
      </c>
      <c r="C287" s="1">
        <v>45609</v>
      </c>
      <c r="D287" t="s">
        <v>7</v>
      </c>
      <c r="E287">
        <v>58.4</v>
      </c>
      <c r="F287">
        <v>52.1</v>
      </c>
      <c r="G287">
        <v>0.14000000000000001</v>
      </c>
      <c r="I287">
        <v>10</v>
      </c>
      <c r="J287" s="10"/>
    </row>
    <row r="288" spans="2:10" x14ac:dyDescent="0.2">
      <c r="B288" s="9">
        <v>285</v>
      </c>
      <c r="C288" s="1">
        <v>45609</v>
      </c>
      <c r="D288" t="s">
        <v>6</v>
      </c>
      <c r="E288">
        <v>15.3</v>
      </c>
      <c r="F288">
        <v>13.9</v>
      </c>
      <c r="G288">
        <v>0.2</v>
      </c>
      <c r="H288" t="s">
        <v>38</v>
      </c>
      <c r="I288">
        <v>10</v>
      </c>
      <c r="J288" s="10"/>
    </row>
    <row r="289" spans="2:10" x14ac:dyDescent="0.2">
      <c r="B289" s="9">
        <v>286</v>
      </c>
      <c r="C289" s="1">
        <v>45609</v>
      </c>
      <c r="D289" t="s">
        <v>7</v>
      </c>
      <c r="E289">
        <v>67.8</v>
      </c>
      <c r="F289">
        <v>60.5</v>
      </c>
      <c r="G289">
        <v>0.14000000000000001</v>
      </c>
      <c r="I289">
        <v>10</v>
      </c>
      <c r="J289" s="10"/>
    </row>
    <row r="290" spans="2:10" x14ac:dyDescent="0.2">
      <c r="B290" s="9">
        <v>287</v>
      </c>
      <c r="C290" s="1">
        <v>45609</v>
      </c>
      <c r="D290" t="s">
        <v>5</v>
      </c>
      <c r="F290">
        <v>79.7</v>
      </c>
      <c r="G290">
        <v>7.0000000000000007E-2</v>
      </c>
      <c r="J290" s="10" t="s">
        <v>186</v>
      </c>
    </row>
    <row r="291" spans="2:10" x14ac:dyDescent="0.2">
      <c r="B291" s="9">
        <v>288</v>
      </c>
      <c r="C291" s="1">
        <v>45609</v>
      </c>
      <c r="D291" t="s">
        <v>6</v>
      </c>
      <c r="E291">
        <v>12.7</v>
      </c>
      <c r="F291">
        <v>11.6</v>
      </c>
      <c r="G291">
        <v>0.15</v>
      </c>
      <c r="H291" t="s">
        <v>38</v>
      </c>
      <c r="J291" s="10"/>
    </row>
    <row r="292" spans="2:10" x14ac:dyDescent="0.2">
      <c r="B292" s="9">
        <v>289</v>
      </c>
      <c r="C292" s="1">
        <v>45609</v>
      </c>
      <c r="D292" t="s">
        <v>5</v>
      </c>
      <c r="F292">
        <v>72.900000000000006</v>
      </c>
      <c r="J292" s="10"/>
    </row>
    <row r="293" spans="2:10" x14ac:dyDescent="0.2">
      <c r="B293" s="9">
        <v>290</v>
      </c>
      <c r="C293" s="1">
        <v>45609</v>
      </c>
      <c r="D293" t="s">
        <v>7</v>
      </c>
      <c r="E293">
        <v>60.6</v>
      </c>
      <c r="F293">
        <v>54.1</v>
      </c>
      <c r="G293">
        <v>0.14000000000000001</v>
      </c>
      <c r="I293">
        <v>10</v>
      </c>
      <c r="J293" s="10"/>
    </row>
    <row r="294" spans="2:10" x14ac:dyDescent="0.2">
      <c r="B294" s="9">
        <v>291</v>
      </c>
      <c r="C294" s="1">
        <v>45609</v>
      </c>
      <c r="D294" t="s">
        <v>5</v>
      </c>
      <c r="F294">
        <v>74.400000000000006</v>
      </c>
      <c r="G294">
        <v>0.1</v>
      </c>
      <c r="J294" s="10" t="s">
        <v>190</v>
      </c>
    </row>
    <row r="295" spans="2:10" x14ac:dyDescent="0.2">
      <c r="B295" s="9">
        <v>292</v>
      </c>
      <c r="C295" s="1">
        <v>45609</v>
      </c>
      <c r="D295" t="s">
        <v>7</v>
      </c>
      <c r="E295">
        <v>79.599999999999994</v>
      </c>
      <c r="F295">
        <v>71.099999999999994</v>
      </c>
      <c r="G295">
        <v>0.17</v>
      </c>
      <c r="I295">
        <v>10</v>
      </c>
      <c r="J295" s="10"/>
    </row>
    <row r="296" spans="2:10" x14ac:dyDescent="0.2">
      <c r="B296" s="9">
        <v>293</v>
      </c>
      <c r="C296" s="1">
        <v>45609</v>
      </c>
      <c r="D296" t="s">
        <v>7</v>
      </c>
      <c r="E296">
        <v>65.900000000000006</v>
      </c>
      <c r="F296">
        <v>58.8</v>
      </c>
      <c r="G296">
        <v>0.16</v>
      </c>
      <c r="I296">
        <v>10</v>
      </c>
      <c r="J296" s="10"/>
    </row>
    <row r="297" spans="2:10" x14ac:dyDescent="0.2">
      <c r="B297" s="9">
        <v>294</v>
      </c>
      <c r="C297" s="1">
        <v>45609</v>
      </c>
      <c r="D297" t="s">
        <v>5</v>
      </c>
      <c r="F297">
        <v>79.099999999999994</v>
      </c>
      <c r="G297">
        <v>0.1</v>
      </c>
      <c r="J297" s="10" t="s">
        <v>187</v>
      </c>
    </row>
    <row r="298" spans="2:10" x14ac:dyDescent="0.2">
      <c r="B298" s="9">
        <v>295</v>
      </c>
      <c r="C298" s="1">
        <v>45609</v>
      </c>
      <c r="D298" t="s">
        <v>6</v>
      </c>
      <c r="E298">
        <v>18.3</v>
      </c>
      <c r="F298">
        <v>16.7</v>
      </c>
      <c r="G298">
        <v>0.24</v>
      </c>
      <c r="H298" t="s">
        <v>38</v>
      </c>
      <c r="I298">
        <v>12</v>
      </c>
      <c r="J298" s="10"/>
    </row>
    <row r="299" spans="2:10" x14ac:dyDescent="0.2">
      <c r="B299" s="9">
        <v>296</v>
      </c>
      <c r="C299" s="1">
        <v>45609</v>
      </c>
      <c r="D299" t="s">
        <v>7</v>
      </c>
      <c r="E299">
        <v>69.2</v>
      </c>
      <c r="F299">
        <v>61.8</v>
      </c>
      <c r="G299">
        <v>0.2</v>
      </c>
      <c r="J299" s="10"/>
    </row>
    <row r="300" spans="2:10" x14ac:dyDescent="0.2">
      <c r="B300" s="9">
        <v>297</v>
      </c>
      <c r="C300" s="1">
        <v>45609</v>
      </c>
      <c r="D300" t="s">
        <v>7</v>
      </c>
      <c r="E300">
        <v>50.5</v>
      </c>
      <c r="F300">
        <v>45.1</v>
      </c>
      <c r="G300">
        <v>0.12</v>
      </c>
      <c r="H300" t="s">
        <v>37</v>
      </c>
      <c r="I300">
        <v>10</v>
      </c>
      <c r="J300" s="10"/>
    </row>
    <row r="301" spans="2:10" x14ac:dyDescent="0.2">
      <c r="B301" s="9">
        <v>298</v>
      </c>
      <c r="C301" s="1">
        <v>45609</v>
      </c>
      <c r="D301" t="s">
        <v>5</v>
      </c>
      <c r="F301">
        <v>74.400000000000006</v>
      </c>
      <c r="J301" s="10" t="s">
        <v>188</v>
      </c>
    </row>
    <row r="302" spans="2:10" ht="17" thickBot="1" x14ac:dyDescent="0.25">
      <c r="B302" s="11">
        <v>299</v>
      </c>
      <c r="C302" s="12">
        <v>45609</v>
      </c>
      <c r="D302" s="13" t="s">
        <v>7</v>
      </c>
      <c r="E302" s="13">
        <v>69.599999999999994</v>
      </c>
      <c r="F302" s="13">
        <v>62.1</v>
      </c>
      <c r="G302" s="13">
        <v>0.2</v>
      </c>
      <c r="H302" s="13" t="s">
        <v>37</v>
      </c>
      <c r="I302" s="13">
        <v>10</v>
      </c>
      <c r="J302" s="14"/>
    </row>
    <row r="303" spans="2:10" x14ac:dyDescent="0.2">
      <c r="B303" s="5">
        <v>300</v>
      </c>
      <c r="C303" s="6">
        <v>45623</v>
      </c>
      <c r="D303" s="7" t="s">
        <v>151</v>
      </c>
      <c r="E303" s="7"/>
      <c r="F303" s="7">
        <v>32.299999999999997</v>
      </c>
      <c r="G303" s="7">
        <v>20</v>
      </c>
      <c r="H303" s="7"/>
      <c r="I303" s="7">
        <v>50</v>
      </c>
      <c r="J303" s="8"/>
    </row>
    <row r="304" spans="2:10" x14ac:dyDescent="0.2">
      <c r="B304" s="9">
        <v>301</v>
      </c>
      <c r="C304" s="1">
        <v>45623</v>
      </c>
      <c r="D304" t="s">
        <v>7</v>
      </c>
      <c r="E304">
        <v>74.900000000000006</v>
      </c>
      <c r="G304">
        <v>0.17</v>
      </c>
      <c r="I304">
        <v>10</v>
      </c>
      <c r="J304" s="10"/>
    </row>
    <row r="305" spans="2:10" x14ac:dyDescent="0.2">
      <c r="B305" s="9">
        <v>302</v>
      </c>
      <c r="C305" s="1">
        <v>45623</v>
      </c>
      <c r="D305" t="s">
        <v>155</v>
      </c>
      <c r="F305" s="18">
        <v>8.1999999999999993</v>
      </c>
      <c r="J305" s="10" t="s">
        <v>221</v>
      </c>
    </row>
    <row r="306" spans="2:10" x14ac:dyDescent="0.2">
      <c r="B306" s="9">
        <v>303</v>
      </c>
      <c r="C306" s="1">
        <v>45623</v>
      </c>
      <c r="D306" t="s">
        <v>7</v>
      </c>
      <c r="E306">
        <v>62.7</v>
      </c>
      <c r="G306">
        <v>0.16</v>
      </c>
      <c r="I306">
        <v>10</v>
      </c>
      <c r="J306" s="10"/>
    </row>
    <row r="307" spans="2:10" x14ac:dyDescent="0.2">
      <c r="B307" s="9">
        <v>304</v>
      </c>
      <c r="C307" s="1">
        <v>45623</v>
      </c>
      <c r="D307" t="s">
        <v>5</v>
      </c>
      <c r="F307">
        <v>81.3</v>
      </c>
      <c r="J307" s="10" t="s">
        <v>210</v>
      </c>
    </row>
    <row r="308" spans="2:10" x14ac:dyDescent="0.2">
      <c r="B308" s="9">
        <v>305</v>
      </c>
      <c r="C308" s="1">
        <v>45623</v>
      </c>
      <c r="D308" t="s">
        <v>155</v>
      </c>
      <c r="F308" s="18">
        <v>5.4</v>
      </c>
      <c r="G308">
        <v>0.13</v>
      </c>
      <c r="J308" s="10" t="s">
        <v>222</v>
      </c>
    </row>
    <row r="309" spans="2:10" x14ac:dyDescent="0.2">
      <c r="B309" s="9">
        <v>306</v>
      </c>
      <c r="C309" s="1">
        <v>45623</v>
      </c>
      <c r="D309" t="s">
        <v>7</v>
      </c>
      <c r="E309">
        <v>89.8</v>
      </c>
      <c r="G309">
        <v>0.11</v>
      </c>
      <c r="I309">
        <v>10</v>
      </c>
      <c r="J309" s="10"/>
    </row>
    <row r="310" spans="2:10" x14ac:dyDescent="0.2">
      <c r="B310" s="9">
        <v>307</v>
      </c>
      <c r="C310" s="1">
        <v>45623</v>
      </c>
      <c r="D310" t="s">
        <v>5</v>
      </c>
      <c r="F310">
        <v>93.6</v>
      </c>
      <c r="J310" s="10" t="s">
        <v>211</v>
      </c>
    </row>
    <row r="311" spans="2:10" x14ac:dyDescent="0.2">
      <c r="B311" s="9">
        <v>308</v>
      </c>
      <c r="C311" s="1">
        <v>45623</v>
      </c>
      <c r="D311" t="s">
        <v>7</v>
      </c>
      <c r="E311">
        <v>65.5</v>
      </c>
      <c r="G311">
        <v>0.15</v>
      </c>
      <c r="I311">
        <v>10</v>
      </c>
      <c r="J311" s="10"/>
    </row>
    <row r="312" spans="2:10" x14ac:dyDescent="0.2">
      <c r="B312" s="9">
        <v>309</v>
      </c>
      <c r="C312" s="1">
        <v>45623</v>
      </c>
      <c r="D312" t="s">
        <v>6</v>
      </c>
      <c r="F312">
        <v>11.8</v>
      </c>
      <c r="G312">
        <v>0.15</v>
      </c>
      <c r="H312" t="s">
        <v>38</v>
      </c>
      <c r="I312">
        <v>20</v>
      </c>
      <c r="J312" s="10" t="s">
        <v>212</v>
      </c>
    </row>
    <row r="313" spans="2:10" x14ac:dyDescent="0.2">
      <c r="B313" s="9">
        <v>310</v>
      </c>
      <c r="C313" s="1">
        <v>45623</v>
      </c>
      <c r="D313" t="s">
        <v>7</v>
      </c>
      <c r="E313">
        <v>48.4</v>
      </c>
      <c r="G313">
        <v>0.1</v>
      </c>
      <c r="I313">
        <v>10</v>
      </c>
      <c r="J313" s="10" t="s">
        <v>122</v>
      </c>
    </row>
    <row r="314" spans="2:10" x14ac:dyDescent="0.2">
      <c r="B314" s="9">
        <v>311</v>
      </c>
      <c r="C314" s="1">
        <v>45623</v>
      </c>
      <c r="D314" t="s">
        <v>155</v>
      </c>
      <c r="G314">
        <v>0.09</v>
      </c>
      <c r="I314">
        <v>15</v>
      </c>
      <c r="J314" s="10" t="s">
        <v>213</v>
      </c>
    </row>
    <row r="315" spans="2:10" x14ac:dyDescent="0.2">
      <c r="B315" s="9">
        <v>312</v>
      </c>
      <c r="C315" s="1">
        <v>45623</v>
      </c>
      <c r="D315" t="s">
        <v>7</v>
      </c>
      <c r="E315">
        <v>68.900000000000006</v>
      </c>
      <c r="G315">
        <v>0.16</v>
      </c>
      <c r="H315" t="s">
        <v>37</v>
      </c>
      <c r="J315" s="10" t="s">
        <v>214</v>
      </c>
    </row>
    <row r="316" spans="2:10" x14ac:dyDescent="0.2">
      <c r="B316" s="9">
        <v>313</v>
      </c>
      <c r="C316" s="1">
        <v>45623</v>
      </c>
      <c r="D316" t="s">
        <v>7</v>
      </c>
      <c r="E316">
        <v>68.5</v>
      </c>
      <c r="G316">
        <v>0.18</v>
      </c>
      <c r="H316" t="s">
        <v>37</v>
      </c>
      <c r="I316">
        <v>10</v>
      </c>
      <c r="J316" s="10"/>
    </row>
    <row r="317" spans="2:10" x14ac:dyDescent="0.2">
      <c r="B317" s="9">
        <v>314</v>
      </c>
      <c r="C317" s="1">
        <v>45623</v>
      </c>
      <c r="D317" t="s">
        <v>5</v>
      </c>
      <c r="F317">
        <v>84.1</v>
      </c>
      <c r="G317">
        <v>0.16</v>
      </c>
      <c r="J317" s="10" t="s">
        <v>217</v>
      </c>
    </row>
    <row r="318" spans="2:10" x14ac:dyDescent="0.2">
      <c r="B318" s="9">
        <v>315</v>
      </c>
      <c r="C318" s="1">
        <v>45623</v>
      </c>
      <c r="D318" t="s">
        <v>7</v>
      </c>
      <c r="E318">
        <v>26.3</v>
      </c>
      <c r="G318">
        <v>0.14000000000000001</v>
      </c>
      <c r="H318" t="s">
        <v>37</v>
      </c>
      <c r="I318">
        <v>9</v>
      </c>
      <c r="J318" s="10"/>
    </row>
    <row r="319" spans="2:10" x14ac:dyDescent="0.2">
      <c r="B319" s="9">
        <v>316</v>
      </c>
      <c r="C319" s="1">
        <v>45623</v>
      </c>
      <c r="D319" t="s">
        <v>5</v>
      </c>
      <c r="F319">
        <v>72.400000000000006</v>
      </c>
      <c r="J319" s="10" t="s">
        <v>219</v>
      </c>
    </row>
    <row r="320" spans="2:10" ht="17" thickBot="1" x14ac:dyDescent="0.25">
      <c r="B320" s="11">
        <v>317</v>
      </c>
      <c r="C320" s="12">
        <v>45623</v>
      </c>
      <c r="D320" s="13" t="s">
        <v>7</v>
      </c>
      <c r="E320" s="13">
        <v>73.599999999999994</v>
      </c>
      <c r="F320" s="13"/>
      <c r="G320" s="13">
        <v>0.11</v>
      </c>
      <c r="H320" s="13"/>
      <c r="I320" s="13">
        <v>8</v>
      </c>
      <c r="J320" s="14" t="s">
        <v>220</v>
      </c>
    </row>
    <row r="321" spans="2:10" x14ac:dyDescent="0.2">
      <c r="B321" s="5">
        <v>318</v>
      </c>
      <c r="C321" s="6">
        <v>45637</v>
      </c>
      <c r="D321" s="7" t="s">
        <v>155</v>
      </c>
      <c r="E321" s="7"/>
      <c r="F321" s="37">
        <v>11.5</v>
      </c>
      <c r="G321" s="7"/>
      <c r="H321" s="7"/>
      <c r="I321" s="7"/>
      <c r="J321" s="8" t="s">
        <v>221</v>
      </c>
    </row>
    <row r="322" spans="2:10" x14ac:dyDescent="0.2">
      <c r="B322" s="9">
        <v>319</v>
      </c>
      <c r="C322" s="1">
        <v>45637</v>
      </c>
      <c r="D322" t="s">
        <v>7</v>
      </c>
      <c r="E322">
        <v>75</v>
      </c>
      <c r="G322">
        <v>0.17</v>
      </c>
      <c r="I322">
        <v>10</v>
      </c>
      <c r="J322" s="10"/>
    </row>
    <row r="323" spans="2:10" x14ac:dyDescent="0.2">
      <c r="B323" s="9">
        <v>320</v>
      </c>
      <c r="C323" s="1">
        <v>45637</v>
      </c>
      <c r="D323" t="s">
        <v>155</v>
      </c>
      <c r="F323" s="18">
        <v>11.5</v>
      </c>
      <c r="J323" s="10" t="s">
        <v>222</v>
      </c>
    </row>
    <row r="324" spans="2:10" x14ac:dyDescent="0.2">
      <c r="B324" s="9">
        <v>321</v>
      </c>
      <c r="C324" s="1">
        <v>45637</v>
      </c>
      <c r="D324" t="s">
        <v>155</v>
      </c>
      <c r="F324" s="18">
        <v>11.9</v>
      </c>
      <c r="J324" s="10" t="s">
        <v>222</v>
      </c>
    </row>
    <row r="325" spans="2:10" x14ac:dyDescent="0.2">
      <c r="B325" s="9">
        <v>322</v>
      </c>
      <c r="C325" s="1">
        <v>45637</v>
      </c>
      <c r="D325" t="s">
        <v>156</v>
      </c>
      <c r="F325">
        <v>15.8</v>
      </c>
      <c r="J325" s="10"/>
    </row>
    <row r="326" spans="2:10" x14ac:dyDescent="0.2">
      <c r="B326" s="9">
        <v>323</v>
      </c>
      <c r="C326" s="1">
        <v>45637</v>
      </c>
      <c r="D326" t="s">
        <v>151</v>
      </c>
      <c r="F326">
        <v>26.1</v>
      </c>
      <c r="J326" s="10"/>
    </row>
    <row r="327" spans="2:10" x14ac:dyDescent="0.2">
      <c r="B327" s="9">
        <v>324</v>
      </c>
      <c r="C327" s="1">
        <v>45637</v>
      </c>
      <c r="D327" t="s">
        <v>151</v>
      </c>
      <c r="F327">
        <v>27.1</v>
      </c>
      <c r="J327" s="10"/>
    </row>
    <row r="328" spans="2:10" x14ac:dyDescent="0.2">
      <c r="B328" s="9">
        <v>325</v>
      </c>
      <c r="C328" s="1">
        <v>45637</v>
      </c>
      <c r="D328" t="s">
        <v>223</v>
      </c>
      <c r="E328">
        <v>94.3</v>
      </c>
      <c r="J328" s="10" t="s">
        <v>224</v>
      </c>
    </row>
    <row r="329" spans="2:10" x14ac:dyDescent="0.2">
      <c r="B329" s="9">
        <v>326</v>
      </c>
      <c r="C329" s="1">
        <v>45637</v>
      </c>
      <c r="D329" t="s">
        <v>7</v>
      </c>
      <c r="E329">
        <v>55.1</v>
      </c>
      <c r="G329">
        <v>0.2</v>
      </c>
      <c r="I329">
        <v>10</v>
      </c>
      <c r="J329" s="10"/>
    </row>
    <row r="330" spans="2:10" x14ac:dyDescent="0.2">
      <c r="B330" s="9">
        <v>327</v>
      </c>
      <c r="C330" s="1">
        <v>45637</v>
      </c>
      <c r="D330" t="s">
        <v>7</v>
      </c>
      <c r="E330">
        <v>75.5</v>
      </c>
      <c r="G330">
        <v>0.17</v>
      </c>
      <c r="I330">
        <v>10</v>
      </c>
      <c r="J330" s="10"/>
    </row>
    <row r="331" spans="2:10" x14ac:dyDescent="0.2">
      <c r="B331" s="9">
        <v>328</v>
      </c>
      <c r="C331" s="1">
        <v>45637</v>
      </c>
      <c r="D331" t="s">
        <v>151</v>
      </c>
      <c r="F331">
        <v>30.3</v>
      </c>
      <c r="J331" s="10"/>
    </row>
    <row r="332" spans="2:10" x14ac:dyDescent="0.2">
      <c r="B332" s="9">
        <v>329</v>
      </c>
      <c r="C332" s="1">
        <v>45637</v>
      </c>
      <c r="D332" t="s">
        <v>5</v>
      </c>
      <c r="F332">
        <v>82.4</v>
      </c>
      <c r="J332" s="10" t="s">
        <v>225</v>
      </c>
    </row>
    <row r="333" spans="2:10" x14ac:dyDescent="0.2">
      <c r="B333" s="9">
        <v>330</v>
      </c>
      <c r="C333" s="1">
        <v>45637</v>
      </c>
      <c r="D333" t="s">
        <v>7</v>
      </c>
      <c r="E333">
        <v>67.599999999999994</v>
      </c>
      <c r="G333">
        <v>0.13</v>
      </c>
      <c r="H333" t="s">
        <v>37</v>
      </c>
      <c r="I333">
        <v>10</v>
      </c>
      <c r="J333" s="10"/>
    </row>
    <row r="334" spans="2:10" x14ac:dyDescent="0.2">
      <c r="B334" s="9">
        <v>331</v>
      </c>
      <c r="C334" s="1">
        <v>45637</v>
      </c>
      <c r="D334" t="s">
        <v>7</v>
      </c>
      <c r="E334">
        <v>55.9</v>
      </c>
      <c r="G334">
        <v>0.12</v>
      </c>
      <c r="I334">
        <v>10</v>
      </c>
      <c r="J334" s="10"/>
    </row>
    <row r="335" spans="2:10" x14ac:dyDescent="0.2">
      <c r="B335" s="9">
        <v>332</v>
      </c>
      <c r="C335" s="1">
        <v>45637</v>
      </c>
      <c r="D335" t="s">
        <v>6</v>
      </c>
      <c r="F335">
        <v>7.1</v>
      </c>
      <c r="G335">
        <v>0.2</v>
      </c>
      <c r="H335" t="s">
        <v>47</v>
      </c>
      <c r="J335" s="10" t="s">
        <v>226</v>
      </c>
    </row>
    <row r="336" spans="2:10" x14ac:dyDescent="0.2">
      <c r="B336" s="9">
        <v>333</v>
      </c>
      <c r="C336" s="1">
        <v>45637</v>
      </c>
      <c r="D336" t="s">
        <v>223</v>
      </c>
      <c r="E336">
        <v>91.9</v>
      </c>
      <c r="J336" s="10"/>
    </row>
    <row r="337" spans="2:10" x14ac:dyDescent="0.2">
      <c r="B337" s="9">
        <v>334</v>
      </c>
      <c r="C337" s="1">
        <v>45637</v>
      </c>
      <c r="D337" t="s">
        <v>7</v>
      </c>
      <c r="E337">
        <v>74.3</v>
      </c>
      <c r="G337">
        <v>0.14000000000000001</v>
      </c>
      <c r="I337">
        <v>10</v>
      </c>
      <c r="J337" s="10"/>
    </row>
    <row r="338" spans="2:10" x14ac:dyDescent="0.2">
      <c r="B338" s="9">
        <v>335</v>
      </c>
      <c r="C338" s="1">
        <v>45637</v>
      </c>
      <c r="D338" t="s">
        <v>21</v>
      </c>
      <c r="F338">
        <v>80.2</v>
      </c>
      <c r="G338">
        <v>0.1</v>
      </c>
      <c r="J338" s="10" t="s">
        <v>227</v>
      </c>
    </row>
    <row r="339" spans="2:10" x14ac:dyDescent="0.2">
      <c r="B339" s="9">
        <v>336</v>
      </c>
      <c r="C339" s="1">
        <v>45637</v>
      </c>
      <c r="D339" t="s">
        <v>7</v>
      </c>
      <c r="E339">
        <v>55.7</v>
      </c>
      <c r="G339">
        <v>0.12</v>
      </c>
      <c r="I339">
        <v>10</v>
      </c>
      <c r="J339" s="10"/>
    </row>
    <row r="340" spans="2:10" x14ac:dyDescent="0.2">
      <c r="B340" s="9">
        <v>337</v>
      </c>
      <c r="C340" s="1">
        <v>45637</v>
      </c>
      <c r="D340" t="s">
        <v>7</v>
      </c>
      <c r="E340">
        <v>36.9</v>
      </c>
      <c r="G340">
        <v>0.08</v>
      </c>
      <c r="H340" t="s">
        <v>37</v>
      </c>
      <c r="I340">
        <v>10</v>
      </c>
      <c r="J340" s="10"/>
    </row>
    <row r="341" spans="2:10" x14ac:dyDescent="0.2">
      <c r="B341" s="9">
        <v>338</v>
      </c>
      <c r="C341" s="1">
        <v>45637</v>
      </c>
      <c r="D341" t="s">
        <v>7</v>
      </c>
      <c r="E341">
        <v>45.4</v>
      </c>
      <c r="G341">
        <v>0.17</v>
      </c>
      <c r="H341" t="s">
        <v>37</v>
      </c>
      <c r="I341">
        <v>10</v>
      </c>
      <c r="J341" s="10"/>
    </row>
    <row r="342" spans="2:10" x14ac:dyDescent="0.2">
      <c r="B342" s="9">
        <v>339</v>
      </c>
      <c r="C342" s="1">
        <v>45637</v>
      </c>
      <c r="D342" t="s">
        <v>155</v>
      </c>
      <c r="G342">
        <v>0.12</v>
      </c>
      <c r="J342" s="10"/>
    </row>
    <row r="343" spans="2:10" ht="17" thickBot="1" x14ac:dyDescent="0.25">
      <c r="B343" s="11">
        <v>340</v>
      </c>
      <c r="C343" s="12">
        <v>45637</v>
      </c>
      <c r="D343" s="13" t="s">
        <v>7</v>
      </c>
      <c r="E343" s="13">
        <v>68.900000000000006</v>
      </c>
      <c r="F343" s="13"/>
      <c r="G343" s="13">
        <v>0.17</v>
      </c>
      <c r="H343" s="13" t="s">
        <v>37</v>
      </c>
      <c r="I343" s="13">
        <v>10</v>
      </c>
      <c r="J343" s="14"/>
    </row>
    <row r="344" spans="2:10" x14ac:dyDescent="0.2">
      <c r="B344" s="5">
        <v>341</v>
      </c>
      <c r="C344" s="6">
        <v>45644</v>
      </c>
      <c r="D344" s="7" t="s">
        <v>7</v>
      </c>
      <c r="E344" s="7">
        <v>55.8</v>
      </c>
      <c r="F344" s="7"/>
      <c r="G344" s="7"/>
      <c r="H344" s="7" t="s">
        <v>37</v>
      </c>
      <c r="I344" s="7"/>
      <c r="J344" s="8" t="s">
        <v>236</v>
      </c>
    </row>
    <row r="345" spans="2:10" x14ac:dyDescent="0.2">
      <c r="B345" s="9">
        <v>342</v>
      </c>
      <c r="C345" s="1">
        <v>45644</v>
      </c>
      <c r="D345" t="s">
        <v>155</v>
      </c>
      <c r="F345" s="18">
        <v>11.8</v>
      </c>
      <c r="J345" s="10" t="s">
        <v>230</v>
      </c>
    </row>
    <row r="346" spans="2:10" x14ac:dyDescent="0.2">
      <c r="B346" s="9">
        <v>343</v>
      </c>
      <c r="C346" s="1">
        <v>45644</v>
      </c>
      <c r="D346" t="s">
        <v>155</v>
      </c>
      <c r="F346" s="18">
        <v>12.6</v>
      </c>
      <c r="J346" s="10" t="s">
        <v>230</v>
      </c>
    </row>
    <row r="347" spans="2:10" x14ac:dyDescent="0.2">
      <c r="B347" s="9">
        <v>344</v>
      </c>
      <c r="C347" s="1">
        <v>45644</v>
      </c>
      <c r="D347" t="s">
        <v>7</v>
      </c>
      <c r="E347">
        <v>91.8</v>
      </c>
      <c r="G347">
        <v>0.16</v>
      </c>
      <c r="I347">
        <v>10</v>
      </c>
      <c r="J347" s="10"/>
    </row>
    <row r="348" spans="2:10" x14ac:dyDescent="0.2">
      <c r="B348" s="9">
        <v>345</v>
      </c>
      <c r="C348" s="1">
        <v>45644</v>
      </c>
      <c r="D348" t="s">
        <v>21</v>
      </c>
      <c r="F348">
        <v>75.8</v>
      </c>
      <c r="G348">
        <v>0.08</v>
      </c>
      <c r="J348" s="10"/>
    </row>
    <row r="349" spans="2:10" x14ac:dyDescent="0.2">
      <c r="B349" s="9">
        <v>346</v>
      </c>
      <c r="C349" s="1">
        <v>45644</v>
      </c>
      <c r="D349" t="s">
        <v>6</v>
      </c>
      <c r="F349">
        <v>12.4</v>
      </c>
      <c r="H349" t="s">
        <v>38</v>
      </c>
      <c r="J349" s="10" t="s">
        <v>231</v>
      </c>
    </row>
    <row r="350" spans="2:10" x14ac:dyDescent="0.2">
      <c r="B350" s="9">
        <v>347</v>
      </c>
      <c r="C350" s="1">
        <v>45644</v>
      </c>
      <c r="D350" t="s">
        <v>7</v>
      </c>
      <c r="E350">
        <v>48.3</v>
      </c>
      <c r="J350" s="10" t="s">
        <v>232</v>
      </c>
    </row>
    <row r="351" spans="2:10" x14ac:dyDescent="0.2">
      <c r="B351" s="9">
        <v>348</v>
      </c>
      <c r="C351" s="1">
        <v>45644</v>
      </c>
      <c r="D351" t="s">
        <v>7</v>
      </c>
      <c r="E351">
        <v>52.1</v>
      </c>
      <c r="J351" s="10" t="s">
        <v>232</v>
      </c>
    </row>
    <row r="352" spans="2:10" x14ac:dyDescent="0.2">
      <c r="B352" s="9">
        <v>349</v>
      </c>
      <c r="C352" s="1">
        <v>45644</v>
      </c>
      <c r="D352" t="s">
        <v>7</v>
      </c>
      <c r="E352">
        <v>88</v>
      </c>
      <c r="G352">
        <v>0.23</v>
      </c>
      <c r="I352">
        <v>11.7</v>
      </c>
      <c r="J352" s="10" t="s">
        <v>233</v>
      </c>
    </row>
    <row r="353" spans="2:10" x14ac:dyDescent="0.2">
      <c r="B353" s="9">
        <v>350</v>
      </c>
      <c r="C353" s="1">
        <v>45644</v>
      </c>
      <c r="D353" t="s">
        <v>21</v>
      </c>
      <c r="F353">
        <v>77.599999999999994</v>
      </c>
      <c r="G353">
        <v>0.22</v>
      </c>
      <c r="J353" s="10" t="s">
        <v>234</v>
      </c>
    </row>
    <row r="354" spans="2:10" ht="17" thickBot="1" x14ac:dyDescent="0.25">
      <c r="B354" s="11">
        <v>351</v>
      </c>
      <c r="C354" s="12">
        <v>45644</v>
      </c>
      <c r="D354" s="13" t="s">
        <v>7</v>
      </c>
      <c r="E354" s="13">
        <v>46.4</v>
      </c>
      <c r="F354" s="13"/>
      <c r="G354" s="13">
        <v>0.21</v>
      </c>
      <c r="H354" s="13"/>
      <c r="I354" s="13">
        <v>10</v>
      </c>
      <c r="J354" s="14"/>
    </row>
    <row r="355" spans="2:10" x14ac:dyDescent="0.2">
      <c r="B355" s="5">
        <v>352</v>
      </c>
      <c r="C355" s="6">
        <v>45665</v>
      </c>
      <c r="D355" s="7" t="s">
        <v>6</v>
      </c>
      <c r="E355" s="7"/>
      <c r="F355" s="7">
        <v>7.3</v>
      </c>
      <c r="G355" s="7">
        <v>0.18</v>
      </c>
      <c r="H355" s="7" t="s">
        <v>15</v>
      </c>
      <c r="I355" s="7"/>
      <c r="J355" s="8"/>
    </row>
    <row r="356" spans="2:10" x14ac:dyDescent="0.2">
      <c r="B356" s="9">
        <v>353</v>
      </c>
      <c r="C356" s="1">
        <v>45665</v>
      </c>
      <c r="D356" t="s">
        <v>7</v>
      </c>
      <c r="E356">
        <v>92.1</v>
      </c>
      <c r="G356">
        <v>0.52</v>
      </c>
      <c r="J356" s="10"/>
    </row>
    <row r="357" spans="2:10" x14ac:dyDescent="0.2">
      <c r="B357" s="9">
        <v>354</v>
      </c>
      <c r="C357" s="1">
        <v>45665</v>
      </c>
      <c r="D357" t="s">
        <v>7</v>
      </c>
      <c r="E357">
        <v>70.5</v>
      </c>
      <c r="G357">
        <v>0.1</v>
      </c>
      <c r="J357" s="10"/>
    </row>
    <row r="358" spans="2:10" x14ac:dyDescent="0.2">
      <c r="B358" s="9">
        <v>355</v>
      </c>
      <c r="C358" s="1">
        <v>45665</v>
      </c>
      <c r="D358" t="s">
        <v>6</v>
      </c>
      <c r="F358">
        <v>7.5</v>
      </c>
      <c r="G358">
        <v>0.18</v>
      </c>
      <c r="H358" t="s">
        <v>15</v>
      </c>
      <c r="I358">
        <v>20</v>
      </c>
      <c r="J358" s="10"/>
    </row>
    <row r="359" spans="2:10" x14ac:dyDescent="0.2">
      <c r="B359" s="9">
        <v>356</v>
      </c>
      <c r="C359" s="1">
        <v>45665</v>
      </c>
      <c r="D359" s="20" t="s">
        <v>7</v>
      </c>
      <c r="E359">
        <v>59.3</v>
      </c>
      <c r="G359">
        <v>0.16</v>
      </c>
      <c r="I359">
        <v>10</v>
      </c>
      <c r="J359" s="10"/>
    </row>
    <row r="360" spans="2:10" x14ac:dyDescent="0.2">
      <c r="B360" s="9">
        <v>357</v>
      </c>
      <c r="C360" s="1">
        <v>45665</v>
      </c>
      <c r="D360" t="s">
        <v>21</v>
      </c>
      <c r="F360">
        <v>82.7</v>
      </c>
      <c r="J360" s="10" t="s">
        <v>225</v>
      </c>
    </row>
    <row r="361" spans="2:10" x14ac:dyDescent="0.2">
      <c r="B361" s="9">
        <v>358</v>
      </c>
      <c r="C361" s="1">
        <v>45665</v>
      </c>
      <c r="D361" t="s">
        <v>21</v>
      </c>
      <c r="F361">
        <v>79.7</v>
      </c>
      <c r="J361" s="10" t="s">
        <v>225</v>
      </c>
    </row>
    <row r="362" spans="2:10" x14ac:dyDescent="0.2">
      <c r="B362" s="9">
        <v>359</v>
      </c>
      <c r="C362" s="1">
        <v>45665</v>
      </c>
      <c r="D362" t="s">
        <v>6</v>
      </c>
      <c r="F362">
        <v>6.9</v>
      </c>
      <c r="G362">
        <v>0.27</v>
      </c>
      <c r="H362" t="s">
        <v>15</v>
      </c>
      <c r="I362">
        <v>15</v>
      </c>
      <c r="J362" s="10" t="s">
        <v>237</v>
      </c>
    </row>
    <row r="363" spans="2:10" x14ac:dyDescent="0.2">
      <c r="B363" s="9">
        <v>360</v>
      </c>
      <c r="C363" s="1">
        <v>45665</v>
      </c>
      <c r="D363" t="s">
        <v>6</v>
      </c>
      <c r="F363">
        <v>9.8000000000000007</v>
      </c>
      <c r="H363" t="s">
        <v>38</v>
      </c>
      <c r="J363" s="10" t="s">
        <v>239</v>
      </c>
    </row>
    <row r="364" spans="2:10" x14ac:dyDescent="0.2">
      <c r="B364" s="9">
        <v>361</v>
      </c>
      <c r="C364" s="1">
        <v>45665</v>
      </c>
      <c r="D364" t="s">
        <v>6</v>
      </c>
      <c r="F364">
        <v>6.8</v>
      </c>
      <c r="G364">
        <v>0.21</v>
      </c>
      <c r="H364" t="s">
        <v>15</v>
      </c>
      <c r="I364">
        <v>15</v>
      </c>
      <c r="J364" s="10"/>
    </row>
    <row r="365" spans="2:10" x14ac:dyDescent="0.2">
      <c r="B365" s="9">
        <v>362</v>
      </c>
      <c r="C365" s="1">
        <v>45665</v>
      </c>
      <c r="D365" t="s">
        <v>6</v>
      </c>
      <c r="F365">
        <v>5.6</v>
      </c>
      <c r="G365">
        <v>0.56999999999999995</v>
      </c>
      <c r="H365" t="s">
        <v>15</v>
      </c>
      <c r="J365" s="10" t="s">
        <v>241</v>
      </c>
    </row>
    <row r="366" spans="2:10" x14ac:dyDescent="0.2">
      <c r="B366" s="9">
        <v>363</v>
      </c>
      <c r="C366" s="1">
        <v>45665</v>
      </c>
      <c r="D366" t="s">
        <v>7</v>
      </c>
      <c r="E366">
        <v>91.9</v>
      </c>
      <c r="G366">
        <v>0.28999999999999998</v>
      </c>
      <c r="I366">
        <v>20</v>
      </c>
      <c r="J366" s="10" t="s">
        <v>242</v>
      </c>
    </row>
    <row r="367" spans="2:10" x14ac:dyDescent="0.2">
      <c r="B367" s="9">
        <v>364</v>
      </c>
      <c r="C367" s="1">
        <v>45665</v>
      </c>
      <c r="D367" t="s">
        <v>5</v>
      </c>
      <c r="F367">
        <v>80.2</v>
      </c>
      <c r="G367">
        <v>0.26</v>
      </c>
      <c r="J367" s="10" t="s">
        <v>243</v>
      </c>
    </row>
    <row r="368" spans="2:10" x14ac:dyDescent="0.2">
      <c r="B368" s="9">
        <v>365</v>
      </c>
      <c r="C368" s="1">
        <v>45665</v>
      </c>
      <c r="D368" t="s">
        <v>7</v>
      </c>
      <c r="E368">
        <v>62.1</v>
      </c>
      <c r="G368">
        <v>0.16</v>
      </c>
      <c r="I368">
        <v>9</v>
      </c>
      <c r="J368" s="10"/>
    </row>
    <row r="369" spans="1:10" x14ac:dyDescent="0.2">
      <c r="B369" s="9">
        <v>366</v>
      </c>
      <c r="C369" s="1">
        <v>45665</v>
      </c>
      <c r="D369" t="s">
        <v>5</v>
      </c>
      <c r="F369">
        <v>78.599999999999994</v>
      </c>
      <c r="G369">
        <v>0.12</v>
      </c>
      <c r="J369" s="10" t="s">
        <v>245</v>
      </c>
    </row>
    <row r="370" spans="1:10" x14ac:dyDescent="0.2">
      <c r="B370" s="9">
        <v>367</v>
      </c>
      <c r="C370" s="1">
        <v>45665</v>
      </c>
      <c r="D370" t="s">
        <v>7</v>
      </c>
      <c r="E370">
        <v>56.4</v>
      </c>
      <c r="G370">
        <v>0.17</v>
      </c>
      <c r="I370">
        <v>10</v>
      </c>
      <c r="J370" s="10"/>
    </row>
    <row r="371" spans="1:10" x14ac:dyDescent="0.2">
      <c r="B371" s="9">
        <v>368</v>
      </c>
      <c r="C371" s="1">
        <v>45665</v>
      </c>
      <c r="D371" t="s">
        <v>7</v>
      </c>
      <c r="E371">
        <v>73.2</v>
      </c>
      <c r="G371">
        <v>0.17</v>
      </c>
      <c r="I371">
        <v>10</v>
      </c>
      <c r="J371" s="10" t="s">
        <v>273</v>
      </c>
    </row>
    <row r="372" spans="1:10" x14ac:dyDescent="0.2">
      <c r="B372" s="9">
        <v>369</v>
      </c>
      <c r="C372" s="1">
        <v>45665</v>
      </c>
      <c r="D372" t="s">
        <v>6</v>
      </c>
      <c r="F372">
        <v>12.8</v>
      </c>
      <c r="G372">
        <v>0.15</v>
      </c>
      <c r="H372" t="s">
        <v>38</v>
      </c>
      <c r="I372">
        <v>15</v>
      </c>
      <c r="J372" s="10"/>
    </row>
    <row r="373" spans="1:10" x14ac:dyDescent="0.2">
      <c r="B373" s="9">
        <v>370</v>
      </c>
      <c r="C373" s="1">
        <v>45665</v>
      </c>
      <c r="D373" t="s">
        <v>7</v>
      </c>
      <c r="E373">
        <v>66.900000000000006</v>
      </c>
      <c r="G373">
        <v>0.13</v>
      </c>
      <c r="I373">
        <v>10</v>
      </c>
      <c r="J373" s="10"/>
    </row>
    <row r="374" spans="1:10" x14ac:dyDescent="0.2">
      <c r="B374" s="9">
        <v>371</v>
      </c>
      <c r="C374" s="1">
        <v>45665</v>
      </c>
      <c r="D374" t="s">
        <v>5</v>
      </c>
      <c r="F374">
        <v>73.3</v>
      </c>
      <c r="G374">
        <v>0.12</v>
      </c>
      <c r="J374" s="10" t="s">
        <v>250</v>
      </c>
    </row>
    <row r="375" spans="1:10" x14ac:dyDescent="0.2">
      <c r="B375" s="9">
        <v>371</v>
      </c>
      <c r="C375" s="1">
        <v>45665</v>
      </c>
      <c r="D375" t="s">
        <v>6</v>
      </c>
      <c r="F375">
        <v>7.6</v>
      </c>
      <c r="G375">
        <v>0.5</v>
      </c>
      <c r="H375" t="s">
        <v>15</v>
      </c>
      <c r="J375" s="10" t="s">
        <v>251</v>
      </c>
    </row>
    <row r="376" spans="1:10" x14ac:dyDescent="0.2">
      <c r="B376" s="9">
        <v>372</v>
      </c>
      <c r="C376" s="1">
        <v>45665</v>
      </c>
      <c r="D376" t="s">
        <v>7</v>
      </c>
      <c r="E376">
        <v>66.599999999999994</v>
      </c>
      <c r="G376">
        <v>0.2</v>
      </c>
      <c r="I376">
        <v>10</v>
      </c>
      <c r="J376" s="10"/>
    </row>
    <row r="377" spans="1:10" ht="17" thickBot="1" x14ac:dyDescent="0.25">
      <c r="B377" s="11">
        <v>373</v>
      </c>
      <c r="C377" s="12">
        <v>45665</v>
      </c>
      <c r="D377" s="13" t="s">
        <v>5</v>
      </c>
      <c r="E377" s="13"/>
      <c r="F377" s="13">
        <v>75.3</v>
      </c>
      <c r="G377" s="13">
        <v>0.08</v>
      </c>
      <c r="H377" s="13"/>
      <c r="I377" s="13"/>
      <c r="J377" s="14" t="s">
        <v>252</v>
      </c>
    </row>
    <row r="378" spans="1:10" x14ac:dyDescent="0.2">
      <c r="A378" t="s">
        <v>265</v>
      </c>
      <c r="B378" s="5">
        <v>374</v>
      </c>
      <c r="C378" s="6">
        <v>45679</v>
      </c>
      <c r="D378" s="7" t="s">
        <v>6</v>
      </c>
      <c r="E378" s="7"/>
      <c r="F378" s="7">
        <v>12.1</v>
      </c>
      <c r="G378" s="7"/>
      <c r="H378" s="7" t="s">
        <v>38</v>
      </c>
      <c r="I378" s="7"/>
      <c r="J378" s="8" t="s">
        <v>258</v>
      </c>
    </row>
    <row r="379" spans="1:10" x14ac:dyDescent="0.2">
      <c r="A379" t="s">
        <v>265</v>
      </c>
      <c r="B379" s="9">
        <v>375</v>
      </c>
      <c r="C379" s="1">
        <v>45679</v>
      </c>
      <c r="D379" t="s">
        <v>6</v>
      </c>
      <c r="F379">
        <v>12.9</v>
      </c>
      <c r="H379" t="s">
        <v>38</v>
      </c>
      <c r="J379" s="10" t="s">
        <v>259</v>
      </c>
    </row>
    <row r="380" spans="1:10" x14ac:dyDescent="0.2">
      <c r="A380" t="s">
        <v>265</v>
      </c>
      <c r="B380" s="9">
        <v>376</v>
      </c>
      <c r="C380" s="1">
        <v>45679</v>
      </c>
      <c r="D380" t="s">
        <v>6</v>
      </c>
      <c r="F380">
        <v>12.8</v>
      </c>
      <c r="H380" t="s">
        <v>38</v>
      </c>
      <c r="J380" s="10" t="s">
        <v>259</v>
      </c>
    </row>
    <row r="381" spans="1:10" x14ac:dyDescent="0.2">
      <c r="A381" t="s">
        <v>266</v>
      </c>
      <c r="B381" s="9">
        <v>377</v>
      </c>
      <c r="C381" s="1">
        <v>45679</v>
      </c>
      <c r="D381" t="s">
        <v>7</v>
      </c>
      <c r="E381">
        <v>74.7</v>
      </c>
      <c r="G381">
        <v>0.09</v>
      </c>
      <c r="I381">
        <v>9</v>
      </c>
      <c r="J381" s="10"/>
    </row>
    <row r="382" spans="1:10" x14ac:dyDescent="0.2">
      <c r="A382" t="s">
        <v>267</v>
      </c>
      <c r="B382" s="9">
        <v>378</v>
      </c>
      <c r="C382" s="1">
        <v>45679</v>
      </c>
      <c r="D382" t="s">
        <v>61</v>
      </c>
      <c r="J382" s="10" t="s">
        <v>260</v>
      </c>
    </row>
    <row r="383" spans="1:10" x14ac:dyDescent="0.2">
      <c r="A383" t="s">
        <v>268</v>
      </c>
      <c r="B383" s="9">
        <v>379</v>
      </c>
      <c r="C383" s="1">
        <v>45679</v>
      </c>
      <c r="D383" t="s">
        <v>7</v>
      </c>
      <c r="E383">
        <v>55.4</v>
      </c>
      <c r="G383">
        <v>0.16</v>
      </c>
      <c r="H383" t="s">
        <v>37</v>
      </c>
      <c r="I383">
        <v>10</v>
      </c>
      <c r="J383" s="10" t="s">
        <v>274</v>
      </c>
    </row>
    <row r="384" spans="1:10" x14ac:dyDescent="0.2">
      <c r="A384" t="s">
        <v>269</v>
      </c>
      <c r="B384" s="9">
        <v>380</v>
      </c>
      <c r="C384" s="1">
        <v>45679</v>
      </c>
      <c r="D384" t="s">
        <v>7</v>
      </c>
      <c r="E384">
        <v>64.099999999999994</v>
      </c>
      <c r="G384">
        <v>0.1</v>
      </c>
      <c r="I384">
        <v>10</v>
      </c>
      <c r="J384" s="10" t="s">
        <v>117</v>
      </c>
    </row>
    <row r="385" spans="1:11" x14ac:dyDescent="0.2">
      <c r="A385" t="s">
        <v>271</v>
      </c>
      <c r="B385" s="9">
        <v>381</v>
      </c>
      <c r="C385" s="1">
        <v>45679</v>
      </c>
      <c r="D385" t="s">
        <v>7</v>
      </c>
      <c r="E385">
        <v>82.2</v>
      </c>
      <c r="G385">
        <v>0.15</v>
      </c>
      <c r="I385">
        <v>10</v>
      </c>
      <c r="J385" s="10" t="s">
        <v>263</v>
      </c>
    </row>
    <row r="386" spans="1:11" x14ac:dyDescent="0.2">
      <c r="A386" t="s">
        <v>271</v>
      </c>
      <c r="B386" s="9">
        <v>382</v>
      </c>
      <c r="C386" s="1">
        <v>45679</v>
      </c>
      <c r="D386" t="s">
        <v>6</v>
      </c>
      <c r="F386">
        <v>11.5</v>
      </c>
      <c r="G386">
        <v>0.11</v>
      </c>
      <c r="H386" t="s">
        <v>47</v>
      </c>
      <c r="J386" s="10" t="s">
        <v>270</v>
      </c>
    </row>
    <row r="387" spans="1:11" x14ac:dyDescent="0.2">
      <c r="A387" t="s">
        <v>271</v>
      </c>
      <c r="B387" s="9">
        <v>383</v>
      </c>
      <c r="C387" s="1">
        <v>45679</v>
      </c>
      <c r="D387" t="s">
        <v>5</v>
      </c>
      <c r="F387">
        <v>85.3</v>
      </c>
      <c r="G387">
        <v>0.12</v>
      </c>
      <c r="J387" s="10" t="s">
        <v>261</v>
      </c>
    </row>
    <row r="388" spans="1:11" ht="17" thickBot="1" x14ac:dyDescent="0.25">
      <c r="A388" t="s">
        <v>271</v>
      </c>
      <c r="B388" s="11">
        <v>384</v>
      </c>
      <c r="C388" s="12">
        <v>45679</v>
      </c>
      <c r="D388" s="13" t="s">
        <v>5</v>
      </c>
      <c r="E388" s="13"/>
      <c r="F388" s="13">
        <v>77.099999999999994</v>
      </c>
      <c r="G388" s="13"/>
      <c r="H388" s="13"/>
      <c r="I388" s="13"/>
      <c r="J388" s="14" t="s">
        <v>262</v>
      </c>
    </row>
    <row r="389" spans="1:11" x14ac:dyDescent="0.2">
      <c r="A389" t="s">
        <v>275</v>
      </c>
      <c r="B389" s="5">
        <v>385</v>
      </c>
      <c r="C389" s="6">
        <v>45693</v>
      </c>
      <c r="D389" s="7" t="s">
        <v>155</v>
      </c>
      <c r="E389" s="7"/>
      <c r="F389" s="39">
        <v>0.29580000000000001</v>
      </c>
      <c r="G389" s="7"/>
      <c r="H389" s="7"/>
      <c r="I389" s="7"/>
      <c r="J389" s="8" t="s">
        <v>276</v>
      </c>
      <c r="K389">
        <v>3122</v>
      </c>
    </row>
    <row r="390" spans="1:11" x14ac:dyDescent="0.2">
      <c r="A390" t="s">
        <v>275</v>
      </c>
      <c r="B390" s="9">
        <v>386</v>
      </c>
      <c r="C390" s="1">
        <v>45693</v>
      </c>
      <c r="D390" t="s">
        <v>155</v>
      </c>
      <c r="F390" s="40">
        <v>0.30449999999999999</v>
      </c>
      <c r="J390" s="10" t="s">
        <v>117</v>
      </c>
      <c r="K390">
        <v>3123</v>
      </c>
    </row>
    <row r="391" spans="1:11" x14ac:dyDescent="0.2">
      <c r="A391" t="s">
        <v>275</v>
      </c>
      <c r="B391" s="9">
        <v>387</v>
      </c>
      <c r="C391" s="1">
        <v>45693</v>
      </c>
      <c r="D391" t="s">
        <v>155</v>
      </c>
      <c r="F391" s="40">
        <v>0.30449999999999999</v>
      </c>
      <c r="J391" s="10" t="s">
        <v>117</v>
      </c>
      <c r="K391">
        <v>3124</v>
      </c>
    </row>
    <row r="392" spans="1:11" x14ac:dyDescent="0.2">
      <c r="A392" t="s">
        <v>275</v>
      </c>
      <c r="B392" s="9">
        <v>388</v>
      </c>
      <c r="C392" s="1">
        <v>45693</v>
      </c>
      <c r="D392" t="s">
        <v>155</v>
      </c>
      <c r="F392" s="40">
        <v>4.8719999999999999</v>
      </c>
      <c r="J392" s="10" t="s">
        <v>117</v>
      </c>
      <c r="K392">
        <v>3125</v>
      </c>
    </row>
    <row r="393" spans="1:11" x14ac:dyDescent="0.2">
      <c r="A393" t="s">
        <v>275</v>
      </c>
      <c r="B393" s="9">
        <v>389</v>
      </c>
      <c r="C393" s="1">
        <v>45693</v>
      </c>
      <c r="D393" t="s">
        <v>6</v>
      </c>
      <c r="F393" s="40">
        <v>4.7850000000000001</v>
      </c>
      <c r="H393" t="s">
        <v>38</v>
      </c>
      <c r="J393" s="10" t="s">
        <v>287</v>
      </c>
      <c r="K393">
        <v>3126</v>
      </c>
    </row>
    <row r="394" spans="1:11" x14ac:dyDescent="0.2">
      <c r="A394" t="s">
        <v>275</v>
      </c>
      <c r="B394" s="9">
        <v>390</v>
      </c>
      <c r="C394" s="1">
        <v>45693</v>
      </c>
      <c r="D394" t="s">
        <v>6</v>
      </c>
      <c r="F394" s="40">
        <v>4.524</v>
      </c>
      <c r="H394" t="s">
        <v>38</v>
      </c>
      <c r="J394" s="10" t="s">
        <v>288</v>
      </c>
      <c r="K394">
        <v>3127</v>
      </c>
    </row>
    <row r="395" spans="1:11" x14ac:dyDescent="0.2">
      <c r="A395" t="s">
        <v>275</v>
      </c>
      <c r="B395" s="9">
        <v>391</v>
      </c>
      <c r="C395" s="1">
        <v>45693</v>
      </c>
      <c r="D395" t="s">
        <v>6</v>
      </c>
      <c r="F395" s="40">
        <v>5.3069999999999995</v>
      </c>
      <c r="H395" t="s">
        <v>38</v>
      </c>
      <c r="J395" s="10" t="s">
        <v>289</v>
      </c>
      <c r="K395">
        <v>3128</v>
      </c>
    </row>
    <row r="396" spans="1:11" x14ac:dyDescent="0.2">
      <c r="A396" t="s">
        <v>277</v>
      </c>
      <c r="B396" s="9">
        <v>392</v>
      </c>
      <c r="C396" s="1">
        <v>45693</v>
      </c>
      <c r="D396" t="s">
        <v>6</v>
      </c>
      <c r="F396">
        <v>9.9</v>
      </c>
      <c r="H396" t="s">
        <v>38</v>
      </c>
      <c r="J396" s="10"/>
      <c r="K396">
        <v>3129</v>
      </c>
    </row>
    <row r="397" spans="1:11" x14ac:dyDescent="0.2">
      <c r="A397" t="s">
        <v>277</v>
      </c>
      <c r="B397" s="9">
        <v>393</v>
      </c>
      <c r="C397" s="1">
        <v>45693</v>
      </c>
      <c r="D397" t="s">
        <v>6</v>
      </c>
      <c r="F397">
        <v>11.4</v>
      </c>
      <c r="H397" t="s">
        <v>38</v>
      </c>
      <c r="J397" s="10"/>
      <c r="K397">
        <v>3130</v>
      </c>
    </row>
    <row r="398" spans="1:11" x14ac:dyDescent="0.2">
      <c r="A398" t="s">
        <v>277</v>
      </c>
      <c r="B398" s="9">
        <v>394</v>
      </c>
      <c r="C398" s="1">
        <v>45693</v>
      </c>
      <c r="D398" t="s">
        <v>156</v>
      </c>
      <c r="F398">
        <v>21.1</v>
      </c>
      <c r="J398" s="10" t="s">
        <v>278</v>
      </c>
      <c r="K398">
        <v>3131</v>
      </c>
    </row>
    <row r="399" spans="1:11" x14ac:dyDescent="0.2">
      <c r="A399" t="s">
        <v>279</v>
      </c>
      <c r="B399" s="9">
        <v>395</v>
      </c>
      <c r="C399" s="1">
        <v>45693</v>
      </c>
      <c r="D399" t="s">
        <v>7</v>
      </c>
      <c r="E399">
        <v>76.400000000000006</v>
      </c>
      <c r="G399">
        <v>0.1</v>
      </c>
      <c r="I399">
        <v>10</v>
      </c>
      <c r="J399" s="10"/>
      <c r="K399">
        <v>3132</v>
      </c>
    </row>
    <row r="400" spans="1:11" x14ac:dyDescent="0.2">
      <c r="A400" t="s">
        <v>282</v>
      </c>
      <c r="B400" s="9">
        <v>396</v>
      </c>
      <c r="C400" s="1">
        <v>45693</v>
      </c>
      <c r="D400" t="s">
        <v>7</v>
      </c>
      <c r="E400">
        <v>69.8</v>
      </c>
      <c r="G400">
        <v>0.14000000000000001</v>
      </c>
      <c r="I400">
        <v>10</v>
      </c>
      <c r="J400" s="10"/>
      <c r="K400">
        <v>3133</v>
      </c>
    </row>
    <row r="401" spans="1:11" x14ac:dyDescent="0.2">
      <c r="A401" t="s">
        <v>282</v>
      </c>
      <c r="B401" s="9">
        <v>397</v>
      </c>
      <c r="C401" s="1">
        <v>45693</v>
      </c>
      <c r="D401" t="s">
        <v>6</v>
      </c>
      <c r="F401">
        <v>13</v>
      </c>
      <c r="G401">
        <v>0.08</v>
      </c>
      <c r="H401" t="s">
        <v>38</v>
      </c>
      <c r="I401">
        <v>15</v>
      </c>
      <c r="J401" s="10" t="s">
        <v>280</v>
      </c>
      <c r="K401">
        <v>3134</v>
      </c>
    </row>
    <row r="402" spans="1:11" x14ac:dyDescent="0.2">
      <c r="A402" t="s">
        <v>282</v>
      </c>
      <c r="B402" s="9">
        <v>398</v>
      </c>
      <c r="C402" s="1">
        <v>45693</v>
      </c>
      <c r="D402" t="s">
        <v>5</v>
      </c>
      <c r="F402">
        <v>48.6</v>
      </c>
      <c r="G402">
        <v>0.1</v>
      </c>
      <c r="J402" s="10" t="s">
        <v>281</v>
      </c>
      <c r="K402">
        <v>3135</v>
      </c>
    </row>
    <row r="403" spans="1:11" x14ac:dyDescent="0.2">
      <c r="A403" t="s">
        <v>285</v>
      </c>
      <c r="B403" s="9">
        <v>399</v>
      </c>
      <c r="C403" s="1">
        <v>45693</v>
      </c>
      <c r="D403" t="s">
        <v>7</v>
      </c>
      <c r="E403">
        <v>39.700000000000003</v>
      </c>
      <c r="G403">
        <v>0.47</v>
      </c>
      <c r="I403">
        <v>30</v>
      </c>
      <c r="J403" s="10" t="s">
        <v>283</v>
      </c>
      <c r="K403">
        <v>3136</v>
      </c>
    </row>
    <row r="404" spans="1:11" x14ac:dyDescent="0.2">
      <c r="A404" t="s">
        <v>285</v>
      </c>
      <c r="B404" s="9">
        <v>400</v>
      </c>
      <c r="C404" s="1">
        <v>45693</v>
      </c>
      <c r="D404" t="s">
        <v>5</v>
      </c>
      <c r="F404">
        <v>75.099999999999994</v>
      </c>
      <c r="G404">
        <v>0.4</v>
      </c>
      <c r="J404" s="10" t="s">
        <v>284</v>
      </c>
      <c r="K404">
        <v>3137</v>
      </c>
    </row>
    <row r="405" spans="1:11" ht="17" thickBot="1" x14ac:dyDescent="0.25">
      <c r="A405" t="s">
        <v>286</v>
      </c>
      <c r="B405" s="11">
        <v>401</v>
      </c>
      <c r="C405" s="12">
        <v>45693</v>
      </c>
      <c r="D405" s="13" t="s">
        <v>7</v>
      </c>
      <c r="E405" s="13">
        <v>92.9</v>
      </c>
      <c r="F405" s="13"/>
      <c r="G405" s="13">
        <v>0.43</v>
      </c>
      <c r="H405" s="13"/>
      <c r="I405" s="13">
        <v>30</v>
      </c>
      <c r="J405" s="14"/>
      <c r="K405">
        <v>3138</v>
      </c>
    </row>
    <row r="406" spans="1:11" x14ac:dyDescent="0.2">
      <c r="A406" t="s">
        <v>292</v>
      </c>
      <c r="B406" s="5">
        <v>402</v>
      </c>
      <c r="C406" s="6">
        <v>45721</v>
      </c>
      <c r="D406" s="7" t="s">
        <v>7</v>
      </c>
      <c r="E406" s="7">
        <v>89.6</v>
      </c>
      <c r="F406" s="7"/>
      <c r="G406" s="7">
        <v>1</v>
      </c>
      <c r="H406" s="7"/>
      <c r="I406" s="7">
        <v>70</v>
      </c>
      <c r="J406" s="8" t="s">
        <v>290</v>
      </c>
    </row>
    <row r="407" spans="1:11" x14ac:dyDescent="0.2">
      <c r="A407" t="s">
        <v>292</v>
      </c>
      <c r="B407" s="9">
        <v>403</v>
      </c>
      <c r="C407" s="1">
        <v>45721</v>
      </c>
      <c r="D407" t="s">
        <v>7</v>
      </c>
      <c r="E407">
        <v>80.2</v>
      </c>
      <c r="G407">
        <v>0.13</v>
      </c>
      <c r="I407">
        <v>10</v>
      </c>
      <c r="J407" s="10"/>
    </row>
    <row r="408" spans="1:11" x14ac:dyDescent="0.2">
      <c r="A408" t="s">
        <v>291</v>
      </c>
      <c r="B408" s="9">
        <v>404</v>
      </c>
      <c r="C408" s="1">
        <v>45721</v>
      </c>
      <c r="D408" t="s">
        <v>6</v>
      </c>
      <c r="F408">
        <v>9.6999999999999993</v>
      </c>
      <c r="H408" t="s">
        <v>38</v>
      </c>
      <c r="J408" s="10" t="s">
        <v>306</v>
      </c>
    </row>
    <row r="409" spans="1:11" x14ac:dyDescent="0.2">
      <c r="A409" t="s">
        <v>293</v>
      </c>
      <c r="B409" s="9">
        <v>405</v>
      </c>
      <c r="C409" s="1">
        <v>45721</v>
      </c>
      <c r="D409" t="s">
        <v>7</v>
      </c>
      <c r="E409">
        <v>61.1</v>
      </c>
      <c r="F409" s="20"/>
      <c r="G409">
        <v>0.14000000000000001</v>
      </c>
      <c r="I409">
        <v>10</v>
      </c>
      <c r="J409" s="10"/>
    </row>
    <row r="410" spans="1:11" x14ac:dyDescent="0.2">
      <c r="A410" t="s">
        <v>294</v>
      </c>
      <c r="B410" s="9">
        <v>406</v>
      </c>
      <c r="C410" s="1">
        <v>45721</v>
      </c>
      <c r="D410" t="s">
        <v>7</v>
      </c>
      <c r="E410">
        <v>73</v>
      </c>
      <c r="F410" s="20"/>
      <c r="G410">
        <v>0.14000000000000001</v>
      </c>
      <c r="I410">
        <v>10</v>
      </c>
      <c r="J410" s="10" t="s">
        <v>307</v>
      </c>
    </row>
    <row r="411" spans="1:11" ht="14" customHeight="1" x14ac:dyDescent="0.2">
      <c r="A411" t="s">
        <v>295</v>
      </c>
      <c r="B411" s="9">
        <v>407</v>
      </c>
      <c r="C411" s="1">
        <v>45721</v>
      </c>
      <c r="D411" t="s">
        <v>7</v>
      </c>
      <c r="E411">
        <v>68.7</v>
      </c>
      <c r="F411" s="20"/>
      <c r="G411">
        <v>0.2</v>
      </c>
      <c r="H411" t="s">
        <v>37</v>
      </c>
      <c r="I411">
        <v>10</v>
      </c>
      <c r="J411" s="10"/>
    </row>
    <row r="412" spans="1:11" x14ac:dyDescent="0.2">
      <c r="A412" t="s">
        <v>298</v>
      </c>
      <c r="B412" s="9">
        <v>408</v>
      </c>
      <c r="C412" s="1">
        <v>45721</v>
      </c>
      <c r="D412" t="s">
        <v>7</v>
      </c>
      <c r="E412">
        <v>72.5</v>
      </c>
      <c r="F412" s="20"/>
      <c r="G412">
        <v>0.18</v>
      </c>
      <c r="I412">
        <v>10</v>
      </c>
      <c r="J412" s="10" t="s">
        <v>296</v>
      </c>
    </row>
    <row r="413" spans="1:11" x14ac:dyDescent="0.2">
      <c r="A413" t="s">
        <v>298</v>
      </c>
      <c r="B413" s="9">
        <v>409</v>
      </c>
      <c r="C413" s="1">
        <v>45721</v>
      </c>
      <c r="D413" t="s">
        <v>5</v>
      </c>
      <c r="F413" s="20">
        <v>72.3</v>
      </c>
      <c r="J413" s="10" t="s">
        <v>297</v>
      </c>
    </row>
    <row r="414" spans="1:11" x14ac:dyDescent="0.2">
      <c r="A414" t="s">
        <v>300</v>
      </c>
      <c r="B414" s="9">
        <v>410</v>
      </c>
      <c r="C414" s="1">
        <v>45721</v>
      </c>
      <c r="D414" t="s">
        <v>7</v>
      </c>
      <c r="E414">
        <v>69.400000000000006</v>
      </c>
      <c r="F414" s="20"/>
      <c r="G414">
        <v>0.3</v>
      </c>
      <c r="I414">
        <v>20</v>
      </c>
      <c r="J414" s="10" t="s">
        <v>125</v>
      </c>
    </row>
    <row r="415" spans="1:11" x14ac:dyDescent="0.2">
      <c r="A415" t="s">
        <v>300</v>
      </c>
      <c r="B415" s="9">
        <v>411</v>
      </c>
      <c r="C415" s="1">
        <v>45721</v>
      </c>
      <c r="D415" t="s">
        <v>5</v>
      </c>
      <c r="F415" s="20">
        <v>78.5</v>
      </c>
      <c r="G415">
        <v>0.21</v>
      </c>
      <c r="J415" s="10" t="s">
        <v>299</v>
      </c>
    </row>
    <row r="416" spans="1:11" x14ac:dyDescent="0.2">
      <c r="A416" t="s">
        <v>303</v>
      </c>
      <c r="B416" s="9">
        <v>412</v>
      </c>
      <c r="C416" s="1">
        <v>45721</v>
      </c>
      <c r="D416" t="s">
        <v>7</v>
      </c>
      <c r="E416">
        <v>78.3</v>
      </c>
      <c r="G416">
        <v>0.13</v>
      </c>
      <c r="I416">
        <v>10</v>
      </c>
      <c r="J416" s="10"/>
    </row>
    <row r="417" spans="1:11" x14ac:dyDescent="0.2">
      <c r="A417" t="s">
        <v>303</v>
      </c>
      <c r="B417" s="9">
        <v>413</v>
      </c>
      <c r="C417" s="1">
        <v>45721</v>
      </c>
      <c r="D417" t="s">
        <v>5</v>
      </c>
      <c r="F417">
        <v>82.1</v>
      </c>
      <c r="G417">
        <v>0.1</v>
      </c>
      <c r="J417" s="10" t="s">
        <v>301</v>
      </c>
    </row>
    <row r="418" spans="1:11" x14ac:dyDescent="0.2">
      <c r="A418" t="s">
        <v>304</v>
      </c>
      <c r="B418" s="9">
        <v>414</v>
      </c>
      <c r="C418" s="1">
        <v>45721</v>
      </c>
      <c r="D418" t="s">
        <v>5</v>
      </c>
      <c r="F418" s="20">
        <v>79.3</v>
      </c>
      <c r="I418">
        <v>10</v>
      </c>
      <c r="J418" s="10" t="s">
        <v>302</v>
      </c>
    </row>
    <row r="419" spans="1:11" ht="17" thickBot="1" x14ac:dyDescent="0.25">
      <c r="A419" t="s">
        <v>304</v>
      </c>
      <c r="B419" s="11">
        <v>415</v>
      </c>
      <c r="C419" s="12">
        <v>45721</v>
      </c>
      <c r="D419" s="13" t="s">
        <v>6</v>
      </c>
      <c r="E419" s="13"/>
      <c r="F419" s="41">
        <v>10.5</v>
      </c>
      <c r="G419" s="13"/>
      <c r="H419" s="13" t="s">
        <v>38</v>
      </c>
      <c r="I419" s="13"/>
      <c r="J419" s="14"/>
    </row>
    <row r="420" spans="1:11" x14ac:dyDescent="0.2">
      <c r="A420" t="s">
        <v>308</v>
      </c>
      <c r="B420" s="5">
        <v>416</v>
      </c>
      <c r="C420" s="6">
        <v>45735</v>
      </c>
      <c r="D420" s="7" t="s">
        <v>7</v>
      </c>
      <c r="E420" s="7">
        <v>84.9</v>
      </c>
      <c r="F420" s="7"/>
      <c r="G420" s="7">
        <v>0.43</v>
      </c>
      <c r="H420" s="7"/>
      <c r="I420" s="7">
        <v>30</v>
      </c>
      <c r="J420" s="8"/>
      <c r="K420">
        <v>3266</v>
      </c>
    </row>
    <row r="421" spans="1:11" x14ac:dyDescent="0.2">
      <c r="A421" t="s">
        <v>308</v>
      </c>
      <c r="B421" s="9">
        <v>417</v>
      </c>
      <c r="C421" s="1">
        <v>45735</v>
      </c>
      <c r="D421" t="s">
        <v>6</v>
      </c>
      <c r="F421">
        <v>9.1</v>
      </c>
      <c r="H421" t="s">
        <v>38</v>
      </c>
      <c r="J421" s="10" t="s">
        <v>325</v>
      </c>
      <c r="K421">
        <v>3267</v>
      </c>
    </row>
    <row r="422" spans="1:11" x14ac:dyDescent="0.2">
      <c r="A422" t="s">
        <v>310</v>
      </c>
      <c r="B422" s="9">
        <v>418</v>
      </c>
      <c r="C422" s="1">
        <v>45735</v>
      </c>
      <c r="D422" t="s">
        <v>7</v>
      </c>
      <c r="E422">
        <v>52.5</v>
      </c>
      <c r="G422">
        <v>0.13</v>
      </c>
      <c r="H422" t="s">
        <v>37</v>
      </c>
      <c r="I422">
        <v>10</v>
      </c>
      <c r="J422" s="10"/>
      <c r="K422">
        <v>3268</v>
      </c>
    </row>
    <row r="423" spans="1:11" x14ac:dyDescent="0.2">
      <c r="A423" t="s">
        <v>310</v>
      </c>
      <c r="B423" s="9">
        <v>419</v>
      </c>
      <c r="C423" s="1">
        <v>45735</v>
      </c>
      <c r="D423" t="s">
        <v>21</v>
      </c>
      <c r="F423">
        <v>83</v>
      </c>
      <c r="G423">
        <v>0.08</v>
      </c>
      <c r="J423" s="10" t="s">
        <v>309</v>
      </c>
      <c r="K423">
        <v>3269</v>
      </c>
    </row>
    <row r="424" spans="1:11" x14ac:dyDescent="0.2">
      <c r="A424" t="s">
        <v>312</v>
      </c>
      <c r="B424" s="9">
        <v>420</v>
      </c>
      <c r="C424" s="1">
        <v>45735</v>
      </c>
      <c r="D424" t="s">
        <v>7</v>
      </c>
      <c r="E424">
        <v>63.5</v>
      </c>
      <c r="G424">
        <v>0.15</v>
      </c>
      <c r="I424">
        <v>10</v>
      </c>
      <c r="J424" s="10"/>
      <c r="K424">
        <v>3270</v>
      </c>
    </row>
    <row r="425" spans="1:11" x14ac:dyDescent="0.2">
      <c r="A425" t="s">
        <v>312</v>
      </c>
      <c r="B425" s="9">
        <v>421</v>
      </c>
      <c r="C425" s="1">
        <v>45735</v>
      </c>
      <c r="D425" t="s">
        <v>21</v>
      </c>
      <c r="F425">
        <v>77.099999999999994</v>
      </c>
      <c r="G425">
        <v>0.09</v>
      </c>
      <c r="J425" s="10" t="s">
        <v>311</v>
      </c>
      <c r="K425">
        <v>3271</v>
      </c>
    </row>
    <row r="426" spans="1:11" x14ac:dyDescent="0.2">
      <c r="A426" t="s">
        <v>314</v>
      </c>
      <c r="B426" s="9">
        <v>422</v>
      </c>
      <c r="C426" s="1">
        <v>45735</v>
      </c>
      <c r="D426" t="s">
        <v>313</v>
      </c>
      <c r="F426" s="20"/>
      <c r="J426" s="10" t="s">
        <v>326</v>
      </c>
      <c r="K426">
        <v>3272</v>
      </c>
    </row>
    <row r="427" spans="1:11" x14ac:dyDescent="0.2">
      <c r="A427" t="s">
        <v>316</v>
      </c>
      <c r="B427" s="9">
        <v>423</v>
      </c>
      <c r="C427" s="1">
        <v>45735</v>
      </c>
      <c r="D427" t="s">
        <v>7</v>
      </c>
      <c r="E427">
        <v>54.6</v>
      </c>
      <c r="G427">
        <v>0.24</v>
      </c>
      <c r="I427">
        <v>20</v>
      </c>
      <c r="J427" s="10" t="s">
        <v>125</v>
      </c>
      <c r="K427">
        <v>3273</v>
      </c>
    </row>
    <row r="428" spans="1:11" x14ac:dyDescent="0.2">
      <c r="A428" t="s">
        <v>316</v>
      </c>
      <c r="B428" s="9">
        <v>424</v>
      </c>
      <c r="C428" s="1">
        <v>45735</v>
      </c>
      <c r="D428" t="s">
        <v>21</v>
      </c>
      <c r="F428">
        <v>78.7</v>
      </c>
      <c r="G428">
        <v>0.13</v>
      </c>
      <c r="J428" s="10" t="s">
        <v>315</v>
      </c>
      <c r="K428">
        <v>3274</v>
      </c>
    </row>
    <row r="429" spans="1:11" x14ac:dyDescent="0.2">
      <c r="A429" t="s">
        <v>317</v>
      </c>
      <c r="B429" s="9">
        <v>425</v>
      </c>
      <c r="C429" s="1">
        <v>45735</v>
      </c>
      <c r="D429" t="s">
        <v>7</v>
      </c>
      <c r="E429">
        <v>53.5</v>
      </c>
      <c r="J429" s="10"/>
      <c r="K429">
        <v>3275</v>
      </c>
    </row>
    <row r="430" spans="1:11" x14ac:dyDescent="0.2">
      <c r="A430" t="s">
        <v>320</v>
      </c>
      <c r="B430" s="9">
        <v>426</v>
      </c>
      <c r="C430" s="1">
        <v>45735</v>
      </c>
      <c r="D430" t="s">
        <v>7</v>
      </c>
      <c r="E430">
        <v>71.400000000000006</v>
      </c>
      <c r="G430">
        <v>0.21</v>
      </c>
      <c r="I430">
        <v>8.5</v>
      </c>
      <c r="J430" s="10"/>
      <c r="K430">
        <v>3276</v>
      </c>
    </row>
    <row r="431" spans="1:11" x14ac:dyDescent="0.2">
      <c r="A431" t="s">
        <v>320</v>
      </c>
      <c r="B431" s="9">
        <v>427</v>
      </c>
      <c r="C431" s="1">
        <v>45735</v>
      </c>
      <c r="D431" t="s">
        <v>21</v>
      </c>
      <c r="F431">
        <v>81.2</v>
      </c>
      <c r="G431">
        <v>0.16</v>
      </c>
      <c r="J431" s="10" t="s">
        <v>318</v>
      </c>
      <c r="K431">
        <v>3277</v>
      </c>
    </row>
    <row r="432" spans="1:11" x14ac:dyDescent="0.2">
      <c r="A432" t="s">
        <v>320</v>
      </c>
      <c r="B432" s="9">
        <v>428</v>
      </c>
      <c r="C432" s="1">
        <v>45735</v>
      </c>
      <c r="D432" t="s">
        <v>7</v>
      </c>
      <c r="E432">
        <v>66.900000000000006</v>
      </c>
      <c r="G432">
        <v>0.2</v>
      </c>
      <c r="H432" t="s">
        <v>37</v>
      </c>
      <c r="I432">
        <v>8.5</v>
      </c>
      <c r="J432" s="10"/>
      <c r="K432">
        <v>3278</v>
      </c>
    </row>
    <row r="433" spans="1:11" x14ac:dyDescent="0.2">
      <c r="A433" t="s">
        <v>320</v>
      </c>
      <c r="B433" s="9">
        <v>429</v>
      </c>
      <c r="C433" s="1">
        <v>45735</v>
      </c>
      <c r="D433" t="s">
        <v>21</v>
      </c>
      <c r="F433">
        <v>77.900000000000006</v>
      </c>
      <c r="G433">
        <v>0.23</v>
      </c>
      <c r="J433" s="10" t="s">
        <v>319</v>
      </c>
      <c r="K433">
        <v>3279</v>
      </c>
    </row>
    <row r="434" spans="1:11" x14ac:dyDescent="0.2">
      <c r="A434" t="s">
        <v>322</v>
      </c>
      <c r="B434" s="9">
        <v>430</v>
      </c>
      <c r="C434" s="1">
        <v>45735</v>
      </c>
      <c r="D434" t="s">
        <v>7</v>
      </c>
      <c r="E434">
        <v>46</v>
      </c>
      <c r="G434">
        <v>0.14000000000000001</v>
      </c>
      <c r="H434" t="s">
        <v>37</v>
      </c>
      <c r="J434" s="10" t="s">
        <v>321</v>
      </c>
      <c r="K434">
        <v>3280</v>
      </c>
    </row>
    <row r="435" spans="1:11" ht="17" thickBot="1" x14ac:dyDescent="0.25">
      <c r="A435" t="s">
        <v>322</v>
      </c>
      <c r="B435" s="11">
        <v>431</v>
      </c>
      <c r="C435" s="12">
        <v>45735</v>
      </c>
      <c r="D435" s="13" t="s">
        <v>21</v>
      </c>
      <c r="E435" s="13"/>
      <c r="F435" s="13">
        <v>78.400000000000006</v>
      </c>
      <c r="G435" s="13">
        <v>0.08</v>
      </c>
      <c r="H435" s="13"/>
      <c r="I435" s="13"/>
      <c r="J435" s="14"/>
      <c r="K435">
        <v>3281</v>
      </c>
    </row>
    <row r="436" spans="1:11" x14ac:dyDescent="0.2">
      <c r="A436" t="s">
        <v>334</v>
      </c>
      <c r="B436" s="5">
        <v>432</v>
      </c>
      <c r="C436" s="6">
        <v>45749</v>
      </c>
      <c r="D436" s="7" t="s">
        <v>7</v>
      </c>
      <c r="E436" s="7">
        <v>90.4</v>
      </c>
      <c r="F436" s="7"/>
      <c r="G436" s="7">
        <v>0.18</v>
      </c>
      <c r="H436" s="7"/>
      <c r="I436" s="7">
        <v>10</v>
      </c>
      <c r="J436" s="8" t="s">
        <v>327</v>
      </c>
      <c r="K436">
        <v>3323</v>
      </c>
    </row>
    <row r="437" spans="1:11" x14ac:dyDescent="0.2">
      <c r="A437" t="s">
        <v>334</v>
      </c>
      <c r="B437" s="9">
        <v>433</v>
      </c>
      <c r="C437" s="1">
        <v>45749</v>
      </c>
      <c r="D437" t="s">
        <v>21</v>
      </c>
      <c r="F437">
        <v>78.400000000000006</v>
      </c>
      <c r="G437">
        <v>0.14000000000000001</v>
      </c>
      <c r="J437" s="10" t="s">
        <v>328</v>
      </c>
      <c r="K437">
        <v>3324</v>
      </c>
    </row>
    <row r="438" spans="1:11" x14ac:dyDescent="0.2">
      <c r="A438" t="s">
        <v>335</v>
      </c>
      <c r="B438" s="9">
        <v>434</v>
      </c>
      <c r="C438" s="1">
        <v>45749</v>
      </c>
      <c r="D438" t="s">
        <v>7</v>
      </c>
      <c r="E438">
        <v>71.7</v>
      </c>
      <c r="G438">
        <v>0.11</v>
      </c>
      <c r="I438">
        <v>10</v>
      </c>
      <c r="J438" s="10"/>
    </row>
    <row r="439" spans="1:11" x14ac:dyDescent="0.2">
      <c r="A439" t="s">
        <v>335</v>
      </c>
      <c r="B439" s="9">
        <v>435</v>
      </c>
      <c r="C439" s="1">
        <v>45749</v>
      </c>
      <c r="D439" t="s">
        <v>21</v>
      </c>
      <c r="F439">
        <v>64.3</v>
      </c>
      <c r="J439" s="10" t="s">
        <v>329</v>
      </c>
    </row>
    <row r="440" spans="1:11" x14ac:dyDescent="0.2">
      <c r="A440" t="s">
        <v>336</v>
      </c>
      <c r="B440" s="9">
        <v>436</v>
      </c>
      <c r="C440" s="1">
        <v>45749</v>
      </c>
      <c r="D440" s="20" t="s">
        <v>7</v>
      </c>
      <c r="E440">
        <v>69</v>
      </c>
      <c r="I440">
        <v>10</v>
      </c>
      <c r="J440" s="10" t="s">
        <v>159</v>
      </c>
    </row>
    <row r="441" spans="1:11" x14ac:dyDescent="0.2">
      <c r="A441" t="s">
        <v>337</v>
      </c>
      <c r="B441" s="9">
        <v>437</v>
      </c>
      <c r="C441" s="1">
        <v>45749</v>
      </c>
      <c r="D441" t="s">
        <v>7</v>
      </c>
      <c r="E441">
        <v>77.5</v>
      </c>
      <c r="G441">
        <v>0.2</v>
      </c>
      <c r="J441" s="10" t="s">
        <v>330</v>
      </c>
    </row>
    <row r="442" spans="1:11" x14ac:dyDescent="0.2">
      <c r="A442" t="s">
        <v>338</v>
      </c>
      <c r="B442" s="9">
        <v>438</v>
      </c>
      <c r="C442" s="1">
        <v>45749</v>
      </c>
      <c r="D442" t="s">
        <v>7</v>
      </c>
      <c r="E442">
        <v>70.400000000000006</v>
      </c>
      <c r="G442">
        <v>0.18</v>
      </c>
      <c r="H442" t="s">
        <v>37</v>
      </c>
      <c r="I442">
        <v>10</v>
      </c>
      <c r="J442" s="10"/>
    </row>
    <row r="443" spans="1:11" x14ac:dyDescent="0.2">
      <c r="A443" t="s">
        <v>339</v>
      </c>
      <c r="B443" s="9">
        <v>439</v>
      </c>
      <c r="C443" s="1">
        <v>45749</v>
      </c>
      <c r="D443" t="s">
        <v>7</v>
      </c>
      <c r="E443">
        <v>93.6</v>
      </c>
      <c r="J443" s="10" t="s">
        <v>331</v>
      </c>
    </row>
    <row r="444" spans="1:11" x14ac:dyDescent="0.2">
      <c r="A444" t="s">
        <v>340</v>
      </c>
      <c r="B444" s="9">
        <v>440</v>
      </c>
      <c r="C444" s="1">
        <v>45749</v>
      </c>
      <c r="D444" t="s">
        <v>152</v>
      </c>
      <c r="F444">
        <v>16.3</v>
      </c>
      <c r="J444" s="10" t="s">
        <v>332</v>
      </c>
    </row>
    <row r="445" spans="1:11" x14ac:dyDescent="0.2">
      <c r="A445" t="s">
        <v>340</v>
      </c>
      <c r="B445" s="9">
        <v>441</v>
      </c>
      <c r="C445" s="1">
        <v>45749</v>
      </c>
      <c r="D445" t="s">
        <v>7</v>
      </c>
      <c r="E445">
        <v>88.5</v>
      </c>
      <c r="G445">
        <v>0.35</v>
      </c>
      <c r="I445">
        <v>20</v>
      </c>
      <c r="J445" s="10"/>
    </row>
    <row r="446" spans="1:11" ht="17" thickBot="1" x14ac:dyDescent="0.25">
      <c r="A446" t="s">
        <v>340</v>
      </c>
      <c r="B446" s="11">
        <v>442</v>
      </c>
      <c r="C446" s="12">
        <v>45749</v>
      </c>
      <c r="D446" s="13" t="s">
        <v>21</v>
      </c>
      <c r="E446" s="13"/>
      <c r="F446" s="13">
        <v>82</v>
      </c>
      <c r="G446" s="13">
        <v>0.32</v>
      </c>
      <c r="H446" s="13"/>
      <c r="I446" s="13"/>
      <c r="J446" s="14" t="s">
        <v>333</v>
      </c>
    </row>
    <row r="447" spans="1:11" x14ac:dyDescent="0.2">
      <c r="A447" t="s">
        <v>341</v>
      </c>
      <c r="B447" s="5">
        <v>443</v>
      </c>
      <c r="C447" s="6">
        <v>45763</v>
      </c>
      <c r="D447" s="7" t="s">
        <v>6</v>
      </c>
      <c r="E447" s="7"/>
      <c r="F447" s="7">
        <v>12.3</v>
      </c>
      <c r="G447" s="7"/>
      <c r="H447" s="7" t="s">
        <v>38</v>
      </c>
      <c r="I447" s="7">
        <v>15</v>
      </c>
      <c r="J447" s="8"/>
    </row>
    <row r="448" spans="1:11" x14ac:dyDescent="0.2">
      <c r="A448" t="s">
        <v>342</v>
      </c>
      <c r="B448" s="9">
        <v>444</v>
      </c>
      <c r="C448" s="1">
        <v>45763</v>
      </c>
      <c r="D448" t="s">
        <v>7</v>
      </c>
      <c r="E448">
        <v>73.099999999999994</v>
      </c>
      <c r="G448">
        <v>0.23</v>
      </c>
      <c r="J448" s="10" t="s">
        <v>330</v>
      </c>
    </row>
    <row r="449" spans="1:11" x14ac:dyDescent="0.2">
      <c r="A449" t="s">
        <v>345</v>
      </c>
      <c r="B449" s="9">
        <v>445</v>
      </c>
      <c r="C449" s="1">
        <v>45763</v>
      </c>
      <c r="D449" t="s">
        <v>343</v>
      </c>
      <c r="J449" s="10" t="s">
        <v>344</v>
      </c>
    </row>
    <row r="450" spans="1:11" x14ac:dyDescent="0.2">
      <c r="A450" t="s">
        <v>347</v>
      </c>
      <c r="B450" s="9">
        <v>446</v>
      </c>
      <c r="C450" s="1">
        <v>45763</v>
      </c>
      <c r="D450" t="s">
        <v>7</v>
      </c>
      <c r="E450">
        <v>53.5</v>
      </c>
      <c r="G450">
        <v>0.14000000000000001</v>
      </c>
      <c r="I450">
        <v>10</v>
      </c>
      <c r="J450" s="10"/>
      <c r="K450">
        <v>3383</v>
      </c>
    </row>
    <row r="451" spans="1:11" x14ac:dyDescent="0.2">
      <c r="A451" t="s">
        <v>347</v>
      </c>
      <c r="B451" s="9">
        <v>447</v>
      </c>
      <c r="C451" s="1">
        <v>45763</v>
      </c>
      <c r="D451" t="s">
        <v>21</v>
      </c>
      <c r="F451">
        <v>69.900000000000006</v>
      </c>
      <c r="G451">
        <v>0.14000000000000001</v>
      </c>
      <c r="J451" s="10" t="s">
        <v>346</v>
      </c>
      <c r="K451">
        <v>3384</v>
      </c>
    </row>
    <row r="452" spans="1:11" x14ac:dyDescent="0.2">
      <c r="A452" t="s">
        <v>348</v>
      </c>
      <c r="B452" s="9">
        <v>448</v>
      </c>
      <c r="C452" s="1">
        <v>45763</v>
      </c>
      <c r="D452" t="s">
        <v>7</v>
      </c>
      <c r="E452">
        <v>71</v>
      </c>
      <c r="G452">
        <v>0.18</v>
      </c>
      <c r="I452">
        <v>10</v>
      </c>
      <c r="J452" s="10"/>
      <c r="K452">
        <v>3385</v>
      </c>
    </row>
    <row r="453" spans="1:11" x14ac:dyDescent="0.2">
      <c r="A453" t="s">
        <v>350</v>
      </c>
      <c r="B453" s="9">
        <v>449</v>
      </c>
      <c r="C453" s="1">
        <v>45763</v>
      </c>
      <c r="D453" t="s">
        <v>369</v>
      </c>
      <c r="E453" s="18">
        <v>2</v>
      </c>
      <c r="G453">
        <v>0.43</v>
      </c>
      <c r="I453">
        <v>0.14000000000000001</v>
      </c>
      <c r="J453" s="10" t="s">
        <v>368</v>
      </c>
      <c r="K453">
        <v>3386</v>
      </c>
    </row>
    <row r="454" spans="1:11" x14ac:dyDescent="0.2">
      <c r="A454" t="s">
        <v>350</v>
      </c>
      <c r="B454" s="9">
        <v>450</v>
      </c>
      <c r="C454" s="1">
        <v>45763</v>
      </c>
      <c r="D454" t="s">
        <v>349</v>
      </c>
      <c r="E454">
        <v>98.5</v>
      </c>
      <c r="J454" s="10"/>
      <c r="K454">
        <v>3387</v>
      </c>
    </row>
    <row r="455" spans="1:11" x14ac:dyDescent="0.2">
      <c r="A455" t="s">
        <v>350</v>
      </c>
      <c r="B455" s="9">
        <v>451</v>
      </c>
      <c r="C455" s="1">
        <v>45763</v>
      </c>
      <c r="D455" t="s">
        <v>151</v>
      </c>
      <c r="F455">
        <v>38.1</v>
      </c>
      <c r="J455" s="10" t="s">
        <v>361</v>
      </c>
      <c r="K455">
        <v>3388</v>
      </c>
    </row>
    <row r="456" spans="1:11" x14ac:dyDescent="0.2">
      <c r="A456" t="s">
        <v>350</v>
      </c>
      <c r="B456" s="9">
        <v>452</v>
      </c>
      <c r="C456" s="1">
        <v>45763</v>
      </c>
      <c r="D456" t="s">
        <v>7</v>
      </c>
      <c r="E456">
        <v>91.5</v>
      </c>
      <c r="J456" s="10" t="s">
        <v>370</v>
      </c>
      <c r="K456">
        <v>3389</v>
      </c>
    </row>
    <row r="457" spans="1:11" x14ac:dyDescent="0.2">
      <c r="A457" t="s">
        <v>353</v>
      </c>
      <c r="B457" s="9">
        <v>453</v>
      </c>
      <c r="C457" s="1">
        <v>45763</v>
      </c>
      <c r="D457" t="s">
        <v>6</v>
      </c>
      <c r="F457" s="18">
        <v>10.3</v>
      </c>
      <c r="H457" t="s">
        <v>38</v>
      </c>
      <c r="J457" s="10" t="s">
        <v>367</v>
      </c>
      <c r="K457">
        <v>3390</v>
      </c>
    </row>
    <row r="458" spans="1:11" x14ac:dyDescent="0.2">
      <c r="A458" t="s">
        <v>353</v>
      </c>
      <c r="B458" s="9">
        <v>454</v>
      </c>
      <c r="C458" s="1">
        <v>45763</v>
      </c>
      <c r="D458" t="s">
        <v>352</v>
      </c>
      <c r="E458">
        <v>99.1</v>
      </c>
      <c r="J458" s="10" t="s">
        <v>351</v>
      </c>
      <c r="K458">
        <v>3391</v>
      </c>
    </row>
    <row r="459" spans="1:11" x14ac:dyDescent="0.2">
      <c r="A459" t="s">
        <v>354</v>
      </c>
      <c r="B459" s="9">
        <v>455</v>
      </c>
      <c r="C459" s="1">
        <v>45763</v>
      </c>
      <c r="D459" t="s">
        <v>7</v>
      </c>
      <c r="E459">
        <v>75.7</v>
      </c>
      <c r="G459">
        <v>0.15</v>
      </c>
      <c r="J459" s="10" t="s">
        <v>241</v>
      </c>
      <c r="K459">
        <v>3392</v>
      </c>
    </row>
    <row r="460" spans="1:11" x14ac:dyDescent="0.2">
      <c r="A460" t="s">
        <v>354</v>
      </c>
      <c r="B460" s="9">
        <v>456</v>
      </c>
      <c r="C460" s="1">
        <v>45763</v>
      </c>
      <c r="D460" t="s">
        <v>21</v>
      </c>
      <c r="F460">
        <v>81.599999999999994</v>
      </c>
      <c r="G460">
        <v>0.12</v>
      </c>
      <c r="J460" s="10" t="s">
        <v>355</v>
      </c>
      <c r="K460">
        <v>3393</v>
      </c>
    </row>
    <row r="461" spans="1:11" x14ac:dyDescent="0.2">
      <c r="A461" t="s">
        <v>356</v>
      </c>
      <c r="B461" s="9">
        <v>457</v>
      </c>
      <c r="C461" s="1">
        <v>45763</v>
      </c>
      <c r="D461" t="s">
        <v>152</v>
      </c>
      <c r="F461">
        <v>16.600000000000001</v>
      </c>
      <c r="J461" s="10"/>
      <c r="K461">
        <v>3394</v>
      </c>
    </row>
    <row r="462" spans="1:11" x14ac:dyDescent="0.2">
      <c r="A462" t="s">
        <v>357</v>
      </c>
      <c r="B462" s="9">
        <v>458</v>
      </c>
      <c r="C462" s="1">
        <v>45763</v>
      </c>
      <c r="D462" t="s">
        <v>7</v>
      </c>
      <c r="E462">
        <v>66.099999999999994</v>
      </c>
      <c r="G462">
        <v>0.18</v>
      </c>
      <c r="H462" t="s">
        <v>37</v>
      </c>
      <c r="I462">
        <v>10</v>
      </c>
      <c r="J462" s="10"/>
      <c r="K462">
        <v>3395</v>
      </c>
    </row>
    <row r="463" spans="1:11" x14ac:dyDescent="0.2">
      <c r="A463" t="s">
        <v>358</v>
      </c>
      <c r="B463" s="9">
        <v>459</v>
      </c>
      <c r="C463" s="1">
        <v>45763</v>
      </c>
      <c r="D463" t="s">
        <v>7</v>
      </c>
      <c r="E463">
        <v>53.4</v>
      </c>
      <c r="G463">
        <v>0.13</v>
      </c>
      <c r="I463">
        <v>10</v>
      </c>
      <c r="J463" s="10"/>
      <c r="K463">
        <v>3396</v>
      </c>
    </row>
    <row r="464" spans="1:11" x14ac:dyDescent="0.2">
      <c r="A464" t="s">
        <v>359</v>
      </c>
      <c r="B464" s="9">
        <v>460</v>
      </c>
      <c r="C464" s="1">
        <v>45763</v>
      </c>
      <c r="D464" t="s">
        <v>7</v>
      </c>
      <c r="E464">
        <v>62.1</v>
      </c>
      <c r="G464">
        <v>0.2</v>
      </c>
      <c r="H464" t="s">
        <v>37</v>
      </c>
      <c r="I464">
        <v>10</v>
      </c>
      <c r="J464" s="10"/>
      <c r="K464">
        <v>3397</v>
      </c>
    </row>
    <row r="465" spans="1:11" x14ac:dyDescent="0.2">
      <c r="A465" t="s">
        <v>359</v>
      </c>
      <c r="B465" s="9">
        <v>461</v>
      </c>
      <c r="C465" s="1">
        <v>45763</v>
      </c>
      <c r="D465" t="s">
        <v>5</v>
      </c>
      <c r="F465">
        <v>85.4</v>
      </c>
      <c r="G465">
        <v>0.12</v>
      </c>
      <c r="J465" s="10" t="s">
        <v>360</v>
      </c>
      <c r="K465">
        <v>3398</v>
      </c>
    </row>
    <row r="466" spans="1:11" ht="17" thickBot="1" x14ac:dyDescent="0.25">
      <c r="A466" t="s">
        <v>362</v>
      </c>
      <c r="B466" s="11">
        <v>462</v>
      </c>
      <c r="C466" s="12">
        <v>45763</v>
      </c>
      <c r="D466" s="13" t="s">
        <v>7</v>
      </c>
      <c r="E466" s="13">
        <v>40.299999999999997</v>
      </c>
      <c r="F466" s="13"/>
      <c r="G466" s="13"/>
      <c r="H466" s="13"/>
      <c r="I466" s="13">
        <v>10</v>
      </c>
      <c r="J466" s="14"/>
      <c r="K466">
        <v>3399</v>
      </c>
    </row>
    <row r="467" spans="1:11" x14ac:dyDescent="0.2">
      <c r="A467" t="s">
        <v>371</v>
      </c>
      <c r="B467" s="5">
        <v>463</v>
      </c>
      <c r="C467" s="6">
        <v>45777</v>
      </c>
      <c r="D467" s="7" t="s">
        <v>7</v>
      </c>
      <c r="E467" s="7">
        <v>74.3</v>
      </c>
      <c r="F467" s="7"/>
      <c r="G467" s="7">
        <v>0.19</v>
      </c>
      <c r="H467" s="7"/>
      <c r="I467" s="7"/>
      <c r="J467" s="8" t="s">
        <v>330</v>
      </c>
      <c r="K467">
        <v>3454</v>
      </c>
    </row>
    <row r="468" spans="1:11" x14ac:dyDescent="0.2">
      <c r="A468" t="s">
        <v>373</v>
      </c>
      <c r="B468" s="9">
        <v>464</v>
      </c>
      <c r="C468" s="1">
        <v>45777</v>
      </c>
      <c r="D468" t="s">
        <v>7</v>
      </c>
      <c r="E468">
        <v>67.8</v>
      </c>
      <c r="G468">
        <v>0.17</v>
      </c>
      <c r="I468">
        <v>7.5</v>
      </c>
      <c r="J468" s="10" t="s">
        <v>372</v>
      </c>
      <c r="K468">
        <v>3455</v>
      </c>
    </row>
    <row r="469" spans="1:11" x14ac:dyDescent="0.2">
      <c r="A469" t="s">
        <v>376</v>
      </c>
      <c r="B469" s="9">
        <v>465</v>
      </c>
      <c r="C469" s="1">
        <v>45777</v>
      </c>
      <c r="D469" t="s">
        <v>374</v>
      </c>
      <c r="E469">
        <v>61.3</v>
      </c>
      <c r="G469">
        <v>0.16</v>
      </c>
      <c r="J469" s="10" t="s">
        <v>375</v>
      </c>
      <c r="K469">
        <v>3456</v>
      </c>
    </row>
    <row r="470" spans="1:11" x14ac:dyDescent="0.2">
      <c r="A470" t="s">
        <v>377</v>
      </c>
      <c r="B470" s="9">
        <v>466</v>
      </c>
      <c r="C470" s="1">
        <v>45777</v>
      </c>
      <c r="D470" t="s">
        <v>6</v>
      </c>
      <c r="F470">
        <v>11.3</v>
      </c>
      <c r="G470">
        <v>0.36</v>
      </c>
      <c r="H470" t="s">
        <v>38</v>
      </c>
      <c r="I470">
        <v>10</v>
      </c>
      <c r="J470" s="10"/>
      <c r="K470">
        <v>3457</v>
      </c>
    </row>
    <row r="471" spans="1:11" x14ac:dyDescent="0.2">
      <c r="A471" t="s">
        <v>380</v>
      </c>
      <c r="B471" s="9">
        <v>467</v>
      </c>
      <c r="C471" s="1">
        <v>45777</v>
      </c>
      <c r="D471" t="s">
        <v>7</v>
      </c>
      <c r="E471">
        <v>72.5</v>
      </c>
      <c r="G471">
        <v>0.17</v>
      </c>
      <c r="I471">
        <v>10</v>
      </c>
      <c r="J471" s="10"/>
      <c r="K471">
        <v>3458</v>
      </c>
    </row>
    <row r="472" spans="1:11" x14ac:dyDescent="0.2">
      <c r="A472" t="s">
        <v>380</v>
      </c>
      <c r="B472" s="9">
        <v>468</v>
      </c>
      <c r="C472" s="1">
        <v>45777</v>
      </c>
      <c r="D472" t="s">
        <v>5</v>
      </c>
      <c r="F472">
        <v>82.8</v>
      </c>
      <c r="G472">
        <v>0.14000000000000001</v>
      </c>
      <c r="J472" s="10" t="s">
        <v>379</v>
      </c>
      <c r="K472">
        <v>3459</v>
      </c>
    </row>
    <row r="473" spans="1:11" x14ac:dyDescent="0.2">
      <c r="A473" t="s">
        <v>380</v>
      </c>
      <c r="B473" s="9">
        <v>469</v>
      </c>
      <c r="C473" s="1">
        <v>45777</v>
      </c>
      <c r="D473" t="s">
        <v>5</v>
      </c>
      <c r="F473">
        <v>83.5</v>
      </c>
      <c r="G473">
        <v>0.08</v>
      </c>
      <c r="J473" s="10" t="s">
        <v>378</v>
      </c>
      <c r="K473">
        <v>3460</v>
      </c>
    </row>
    <row r="474" spans="1:11" x14ac:dyDescent="0.2">
      <c r="A474" t="s">
        <v>380</v>
      </c>
      <c r="B474" s="9">
        <v>470</v>
      </c>
      <c r="C474" s="1">
        <v>45777</v>
      </c>
      <c r="D474" t="s">
        <v>5</v>
      </c>
      <c r="F474">
        <v>92.9</v>
      </c>
      <c r="G474">
        <v>0.08</v>
      </c>
      <c r="J474" s="10" t="s">
        <v>378</v>
      </c>
      <c r="K474">
        <v>3461</v>
      </c>
    </row>
    <row r="475" spans="1:11" x14ac:dyDescent="0.2">
      <c r="A475" t="s">
        <v>384</v>
      </c>
      <c r="B475" s="9">
        <v>471</v>
      </c>
      <c r="C475" s="1">
        <v>45777</v>
      </c>
      <c r="D475" t="s">
        <v>7</v>
      </c>
      <c r="E475">
        <v>72.900000000000006</v>
      </c>
      <c r="G475">
        <v>0.19</v>
      </c>
      <c r="I475">
        <v>10</v>
      </c>
      <c r="J475" s="10"/>
      <c r="K475">
        <v>3462</v>
      </c>
    </row>
    <row r="476" spans="1:11" x14ac:dyDescent="0.2">
      <c r="A476" t="s">
        <v>384</v>
      </c>
      <c r="B476" s="9">
        <v>472</v>
      </c>
      <c r="C476" s="1">
        <v>45777</v>
      </c>
      <c r="D476" t="s">
        <v>7</v>
      </c>
      <c r="E476">
        <v>72.7</v>
      </c>
      <c r="G476">
        <v>0.22</v>
      </c>
      <c r="I476">
        <v>10</v>
      </c>
      <c r="J476" s="10"/>
      <c r="K476">
        <v>3463</v>
      </c>
    </row>
    <row r="477" spans="1:11" x14ac:dyDescent="0.2">
      <c r="A477" t="s">
        <v>381</v>
      </c>
      <c r="B477" s="9">
        <v>473</v>
      </c>
      <c r="C477" s="1">
        <v>45777</v>
      </c>
      <c r="D477" t="s">
        <v>7</v>
      </c>
      <c r="E477">
        <v>66.599999999999994</v>
      </c>
      <c r="G477">
        <v>0.18</v>
      </c>
      <c r="H477" t="s">
        <v>37</v>
      </c>
      <c r="I477">
        <v>10</v>
      </c>
      <c r="J477" s="10"/>
      <c r="K477">
        <v>3464</v>
      </c>
    </row>
    <row r="478" spans="1:11" x14ac:dyDescent="0.2">
      <c r="A478" t="s">
        <v>385</v>
      </c>
      <c r="B478" s="9">
        <v>474</v>
      </c>
      <c r="C478" s="1">
        <v>45777</v>
      </c>
      <c r="D478" t="s">
        <v>7</v>
      </c>
      <c r="E478">
        <v>56.2</v>
      </c>
      <c r="G478">
        <v>0.08</v>
      </c>
      <c r="J478" s="10" t="s">
        <v>241</v>
      </c>
      <c r="K478">
        <v>3465</v>
      </c>
    </row>
    <row r="479" spans="1:11" x14ac:dyDescent="0.2">
      <c r="A479" t="s">
        <v>385</v>
      </c>
      <c r="B479" s="9">
        <v>475</v>
      </c>
      <c r="C479" s="1">
        <v>45777</v>
      </c>
      <c r="D479" t="s">
        <v>5</v>
      </c>
      <c r="F479">
        <v>75.8</v>
      </c>
      <c r="J479" s="10" t="s">
        <v>382</v>
      </c>
      <c r="K479">
        <v>3466</v>
      </c>
    </row>
    <row r="480" spans="1:11" ht="17" thickBot="1" x14ac:dyDescent="0.25">
      <c r="A480" t="s">
        <v>383</v>
      </c>
      <c r="B480" s="11">
        <v>476</v>
      </c>
      <c r="C480" s="12">
        <v>45777</v>
      </c>
      <c r="D480" s="13" t="s">
        <v>6</v>
      </c>
      <c r="E480" s="13"/>
      <c r="F480" s="13">
        <v>16.100000000000001</v>
      </c>
      <c r="G480" s="13">
        <v>0.12</v>
      </c>
      <c r="H480" s="13" t="s">
        <v>38</v>
      </c>
      <c r="I480" s="13">
        <v>10</v>
      </c>
      <c r="J480" s="14"/>
      <c r="K480">
        <v>3467</v>
      </c>
    </row>
    <row r="481" spans="1:11" x14ac:dyDescent="0.2">
      <c r="A481" t="s">
        <v>391</v>
      </c>
      <c r="B481" s="5">
        <v>477</v>
      </c>
      <c r="C481" s="6">
        <v>45791</v>
      </c>
      <c r="D481" s="7" t="s">
        <v>6</v>
      </c>
      <c r="E481" s="7"/>
      <c r="F481" s="7">
        <v>15.9</v>
      </c>
      <c r="G481" s="7">
        <v>0.2</v>
      </c>
      <c r="H481" s="7" t="s">
        <v>38</v>
      </c>
      <c r="I481" s="7"/>
      <c r="J481" s="8" t="s">
        <v>390</v>
      </c>
      <c r="K481">
        <v>3501</v>
      </c>
    </row>
    <row r="482" spans="1:11" x14ac:dyDescent="0.2">
      <c r="A482" t="s">
        <v>393</v>
      </c>
      <c r="B482" s="9">
        <v>478</v>
      </c>
      <c r="C482" s="1">
        <v>45791</v>
      </c>
      <c r="D482" t="s">
        <v>7</v>
      </c>
      <c r="E482">
        <v>76.599999999999994</v>
      </c>
      <c r="G482">
        <v>0.14000000000000001</v>
      </c>
      <c r="I482">
        <v>10</v>
      </c>
      <c r="J482" s="10"/>
      <c r="K482">
        <v>3502</v>
      </c>
    </row>
    <row r="483" spans="1:11" x14ac:dyDescent="0.2">
      <c r="A483" t="s">
        <v>393</v>
      </c>
      <c r="B483" s="9">
        <v>479</v>
      </c>
      <c r="C483" s="1">
        <v>45791</v>
      </c>
      <c r="D483" t="s">
        <v>5</v>
      </c>
      <c r="F483">
        <v>86.2</v>
      </c>
      <c r="G483">
        <v>0.14000000000000001</v>
      </c>
      <c r="J483" s="10" t="s">
        <v>392</v>
      </c>
      <c r="K483">
        <v>3503</v>
      </c>
    </row>
    <row r="484" spans="1:11" x14ac:dyDescent="0.2">
      <c r="A484" t="s">
        <v>394</v>
      </c>
      <c r="B484" s="9">
        <v>480</v>
      </c>
      <c r="C484" s="1">
        <v>45791</v>
      </c>
      <c r="D484" t="s">
        <v>7</v>
      </c>
      <c r="E484">
        <v>57.8</v>
      </c>
      <c r="G484">
        <v>0.16</v>
      </c>
      <c r="I484">
        <v>15</v>
      </c>
      <c r="J484" s="10"/>
      <c r="K484">
        <v>3504</v>
      </c>
    </row>
    <row r="485" spans="1:11" x14ac:dyDescent="0.2">
      <c r="A485" t="s">
        <v>395</v>
      </c>
      <c r="B485" s="9">
        <v>481</v>
      </c>
      <c r="C485" s="1">
        <v>45791</v>
      </c>
      <c r="D485" t="s">
        <v>7</v>
      </c>
      <c r="E485">
        <v>58.7</v>
      </c>
      <c r="G485">
        <v>0.14000000000000001</v>
      </c>
      <c r="I485">
        <v>10</v>
      </c>
      <c r="J485" s="10"/>
      <c r="K485">
        <v>3505</v>
      </c>
    </row>
    <row r="486" spans="1:11" x14ac:dyDescent="0.2">
      <c r="A486" t="s">
        <v>395</v>
      </c>
      <c r="B486" s="9">
        <v>482</v>
      </c>
      <c r="C486" s="1">
        <v>45791</v>
      </c>
      <c r="D486" t="s">
        <v>7</v>
      </c>
      <c r="E486">
        <v>58.9</v>
      </c>
      <c r="G486">
        <v>0.09</v>
      </c>
      <c r="I486">
        <v>10</v>
      </c>
      <c r="J486" s="10"/>
      <c r="K486">
        <v>3506</v>
      </c>
    </row>
    <row r="487" spans="1:11" x14ac:dyDescent="0.2">
      <c r="A487" t="s">
        <v>396</v>
      </c>
      <c r="B487" s="9">
        <v>483</v>
      </c>
      <c r="C487" s="1">
        <v>45791</v>
      </c>
      <c r="D487" t="s">
        <v>7</v>
      </c>
      <c r="E487">
        <v>72.900000000000006</v>
      </c>
      <c r="G487">
        <v>0.17</v>
      </c>
      <c r="I487">
        <v>10</v>
      </c>
      <c r="J487" s="10"/>
      <c r="K487">
        <v>3508</v>
      </c>
    </row>
    <row r="488" spans="1:11" x14ac:dyDescent="0.2">
      <c r="A488" t="s">
        <v>396</v>
      </c>
      <c r="B488" s="9">
        <v>484</v>
      </c>
      <c r="C488" s="1">
        <v>45791</v>
      </c>
      <c r="D488" t="s">
        <v>5</v>
      </c>
      <c r="F488">
        <v>78.2</v>
      </c>
      <c r="G488">
        <v>0.1</v>
      </c>
      <c r="J488" s="10" t="s">
        <v>397</v>
      </c>
      <c r="K488">
        <v>3509</v>
      </c>
    </row>
    <row r="489" spans="1:11" x14ac:dyDescent="0.2">
      <c r="A489" t="s">
        <v>399</v>
      </c>
      <c r="B489" s="9">
        <v>485</v>
      </c>
      <c r="C489" s="1">
        <v>45791</v>
      </c>
      <c r="D489" t="s">
        <v>5</v>
      </c>
      <c r="F489">
        <v>68.3</v>
      </c>
      <c r="J489" s="10" t="s">
        <v>398</v>
      </c>
      <c r="K489">
        <v>3510</v>
      </c>
    </row>
    <row r="490" spans="1:11" x14ac:dyDescent="0.2">
      <c r="A490" t="s">
        <v>400</v>
      </c>
      <c r="B490" s="9">
        <v>486</v>
      </c>
      <c r="C490" s="1">
        <v>45791</v>
      </c>
      <c r="D490" t="s">
        <v>7</v>
      </c>
      <c r="E490">
        <v>66.599999999999994</v>
      </c>
      <c r="G490">
        <v>0.18</v>
      </c>
      <c r="H490" t="s">
        <v>37</v>
      </c>
      <c r="I490">
        <v>10</v>
      </c>
      <c r="J490" s="10"/>
      <c r="K490">
        <v>3511</v>
      </c>
    </row>
    <row r="491" spans="1:11" ht="17" thickBot="1" x14ac:dyDescent="0.25">
      <c r="A491" t="s">
        <v>401</v>
      </c>
      <c r="B491" s="11">
        <v>487</v>
      </c>
      <c r="C491" s="12">
        <v>45791</v>
      </c>
      <c r="D491" s="13" t="s">
        <v>7</v>
      </c>
      <c r="E491" s="13">
        <v>72.2</v>
      </c>
      <c r="F491" s="13"/>
      <c r="G491" s="13">
        <v>0.16</v>
      </c>
      <c r="H491" s="13"/>
      <c r="I491" s="13">
        <v>10</v>
      </c>
      <c r="J491" s="14"/>
      <c r="K491">
        <v>3512</v>
      </c>
    </row>
    <row r="492" spans="1:11" x14ac:dyDescent="0.2">
      <c r="A492" t="s">
        <v>402</v>
      </c>
      <c r="B492" s="5">
        <v>488</v>
      </c>
      <c r="C492" s="6">
        <v>45805</v>
      </c>
      <c r="D492" s="7" t="s">
        <v>5</v>
      </c>
      <c r="E492" s="7"/>
      <c r="F492" s="7">
        <v>78.5</v>
      </c>
      <c r="G492" s="7">
        <v>0.17</v>
      </c>
      <c r="H492" s="7"/>
      <c r="I492" s="7"/>
      <c r="J492" s="8"/>
      <c r="K492">
        <v>3583</v>
      </c>
    </row>
    <row r="493" spans="1:11" x14ac:dyDescent="0.2">
      <c r="A493" t="s">
        <v>415</v>
      </c>
      <c r="B493" s="9">
        <v>489</v>
      </c>
      <c r="C493" s="1">
        <v>45805</v>
      </c>
      <c r="D493" t="s">
        <v>7</v>
      </c>
      <c r="E493">
        <v>66</v>
      </c>
      <c r="G493">
        <v>0.13</v>
      </c>
      <c r="I493">
        <v>10</v>
      </c>
      <c r="J493" s="10"/>
      <c r="K493">
        <v>3584</v>
      </c>
    </row>
    <row r="494" spans="1:11" x14ac:dyDescent="0.2">
      <c r="A494" t="s">
        <v>414</v>
      </c>
      <c r="B494" s="9">
        <v>490</v>
      </c>
      <c r="C494" s="1">
        <v>45805</v>
      </c>
      <c r="D494" t="s">
        <v>7</v>
      </c>
      <c r="E494">
        <v>71</v>
      </c>
      <c r="G494">
        <v>0.17</v>
      </c>
      <c r="I494">
        <v>10</v>
      </c>
      <c r="J494" s="10"/>
      <c r="K494">
        <v>3585</v>
      </c>
    </row>
    <row r="495" spans="1:11" x14ac:dyDescent="0.2">
      <c r="A495" t="s">
        <v>414</v>
      </c>
      <c r="B495" s="9">
        <v>491</v>
      </c>
      <c r="C495" s="1">
        <v>45805</v>
      </c>
      <c r="D495" t="s">
        <v>5</v>
      </c>
      <c r="F495">
        <v>83.8</v>
      </c>
      <c r="G495">
        <v>0.11</v>
      </c>
      <c r="J495" s="10" t="s">
        <v>403</v>
      </c>
      <c r="K495">
        <v>3586</v>
      </c>
    </row>
    <row r="496" spans="1:11" x14ac:dyDescent="0.2">
      <c r="A496" t="s">
        <v>404</v>
      </c>
      <c r="B496" s="9">
        <v>492</v>
      </c>
      <c r="C496" s="1">
        <v>45805</v>
      </c>
      <c r="D496" t="s">
        <v>7</v>
      </c>
      <c r="E496">
        <v>31.2</v>
      </c>
      <c r="G496">
        <v>0.12</v>
      </c>
      <c r="H496" t="s">
        <v>37</v>
      </c>
      <c r="J496" s="10"/>
      <c r="K496">
        <v>3587</v>
      </c>
    </row>
    <row r="497" spans="1:11" x14ac:dyDescent="0.2">
      <c r="A497" t="s">
        <v>405</v>
      </c>
      <c r="B497" s="9">
        <v>493</v>
      </c>
      <c r="C497" s="1">
        <v>45805</v>
      </c>
      <c r="D497" t="s">
        <v>7</v>
      </c>
      <c r="E497">
        <v>89.3</v>
      </c>
      <c r="G497">
        <v>0.23</v>
      </c>
      <c r="I497">
        <v>40</v>
      </c>
      <c r="J497" s="10" t="s">
        <v>406</v>
      </c>
      <c r="K497">
        <v>3588</v>
      </c>
    </row>
    <row r="498" spans="1:11" x14ac:dyDescent="0.2">
      <c r="A498" t="s">
        <v>408</v>
      </c>
      <c r="B498" s="9">
        <v>494</v>
      </c>
      <c r="C498" s="1">
        <v>45805</v>
      </c>
      <c r="D498" t="s">
        <v>7</v>
      </c>
      <c r="E498">
        <v>86.3</v>
      </c>
      <c r="G498">
        <v>0.41</v>
      </c>
      <c r="I498">
        <v>40</v>
      </c>
      <c r="J498" s="10"/>
      <c r="K498">
        <v>3589</v>
      </c>
    </row>
    <row r="499" spans="1:11" x14ac:dyDescent="0.2">
      <c r="A499" t="s">
        <v>408</v>
      </c>
      <c r="B499" s="9">
        <v>495</v>
      </c>
      <c r="C499" s="1">
        <v>45805</v>
      </c>
      <c r="D499" t="s">
        <v>5</v>
      </c>
      <c r="F499">
        <v>80.3</v>
      </c>
      <c r="G499">
        <v>0.33</v>
      </c>
      <c r="J499" s="10" t="s">
        <v>407</v>
      </c>
      <c r="K499">
        <v>3590</v>
      </c>
    </row>
    <row r="500" spans="1:11" x14ac:dyDescent="0.2">
      <c r="A500" t="s">
        <v>413</v>
      </c>
      <c r="B500" s="9">
        <v>496</v>
      </c>
      <c r="C500" s="1">
        <v>45805</v>
      </c>
      <c r="D500" t="s">
        <v>7</v>
      </c>
      <c r="E500">
        <v>88.4</v>
      </c>
      <c r="G500">
        <v>0.13</v>
      </c>
      <c r="I500">
        <v>10</v>
      </c>
      <c r="J500" s="10"/>
      <c r="K500">
        <v>3591</v>
      </c>
    </row>
    <row r="501" spans="1:11" x14ac:dyDescent="0.2">
      <c r="A501" t="s">
        <v>413</v>
      </c>
      <c r="B501" s="9">
        <v>497</v>
      </c>
      <c r="C501" s="1">
        <v>45805</v>
      </c>
      <c r="D501" t="s">
        <v>5</v>
      </c>
      <c r="F501">
        <v>74.900000000000006</v>
      </c>
      <c r="J501" s="10" t="s">
        <v>409</v>
      </c>
      <c r="K501">
        <v>3592</v>
      </c>
    </row>
    <row r="502" spans="1:11" x14ac:dyDescent="0.2">
      <c r="A502" t="s">
        <v>412</v>
      </c>
      <c r="B502" s="9">
        <v>498</v>
      </c>
      <c r="C502" s="1">
        <v>45805</v>
      </c>
      <c r="D502" t="s">
        <v>6</v>
      </c>
      <c r="F502">
        <v>15.2</v>
      </c>
      <c r="H502" t="s">
        <v>38</v>
      </c>
      <c r="J502" s="10" t="s">
        <v>418</v>
      </c>
      <c r="K502">
        <v>3593</v>
      </c>
    </row>
    <row r="503" spans="1:11" x14ac:dyDescent="0.2">
      <c r="A503" t="s">
        <v>410</v>
      </c>
      <c r="B503" s="9">
        <v>499</v>
      </c>
      <c r="C503" s="1">
        <v>45805</v>
      </c>
      <c r="D503" t="s">
        <v>7</v>
      </c>
      <c r="E503">
        <v>94.1</v>
      </c>
      <c r="G503">
        <v>0.41</v>
      </c>
      <c r="J503" s="10" t="s">
        <v>411</v>
      </c>
      <c r="K503">
        <v>3594</v>
      </c>
    </row>
    <row r="504" spans="1:11" x14ac:dyDescent="0.2">
      <c r="A504" t="s">
        <v>416</v>
      </c>
      <c r="B504" s="9">
        <v>500</v>
      </c>
      <c r="C504" s="1">
        <v>45805</v>
      </c>
      <c r="D504" t="s">
        <v>7</v>
      </c>
      <c r="E504">
        <v>56.1</v>
      </c>
      <c r="G504">
        <v>0.18</v>
      </c>
      <c r="H504" t="s">
        <v>37</v>
      </c>
      <c r="J504" s="10"/>
      <c r="K504">
        <v>3596</v>
      </c>
    </row>
    <row r="505" spans="1:11" ht="17" thickBot="1" x14ac:dyDescent="0.25">
      <c r="A505" t="s">
        <v>416</v>
      </c>
      <c r="B505" s="11">
        <v>501</v>
      </c>
      <c r="C505" s="12">
        <v>45805</v>
      </c>
      <c r="D505" s="13" t="s">
        <v>5</v>
      </c>
      <c r="E505" s="13"/>
      <c r="F505" s="13">
        <v>82.3</v>
      </c>
      <c r="G505" s="13">
        <v>0.1</v>
      </c>
      <c r="H505" s="13"/>
      <c r="I505" s="13"/>
      <c r="J505" s="14" t="s">
        <v>417</v>
      </c>
      <c r="K505">
        <v>3597</v>
      </c>
    </row>
    <row r="506" spans="1:11" x14ac:dyDescent="0.2">
      <c r="A506" t="s">
        <v>422</v>
      </c>
      <c r="B506" s="5">
        <v>502</v>
      </c>
      <c r="C506" s="6">
        <v>45819</v>
      </c>
      <c r="D506" s="7" t="s">
        <v>6</v>
      </c>
      <c r="E506" s="7"/>
      <c r="F506" s="7">
        <v>13.2</v>
      </c>
      <c r="G506" s="7">
        <v>0.1</v>
      </c>
      <c r="H506" s="7" t="s">
        <v>38</v>
      </c>
      <c r="I506" s="7"/>
      <c r="J506" s="8" t="s">
        <v>421</v>
      </c>
      <c r="K506">
        <v>3678</v>
      </c>
    </row>
    <row r="507" spans="1:11" x14ac:dyDescent="0.2">
      <c r="A507" t="s">
        <v>422</v>
      </c>
      <c r="B507" s="9">
        <v>503</v>
      </c>
      <c r="C507" s="1">
        <v>45819</v>
      </c>
      <c r="D507" t="s">
        <v>151</v>
      </c>
      <c r="F507">
        <v>27.3</v>
      </c>
      <c r="G507">
        <v>0.56000000000000005</v>
      </c>
      <c r="J507" s="10" t="s">
        <v>419</v>
      </c>
      <c r="K507">
        <v>3679</v>
      </c>
    </row>
    <row r="508" spans="1:11" x14ac:dyDescent="0.2">
      <c r="A508" t="s">
        <v>422</v>
      </c>
      <c r="B508" s="9">
        <v>504</v>
      </c>
      <c r="C508" s="1">
        <v>45819</v>
      </c>
      <c r="D508" t="s">
        <v>152</v>
      </c>
      <c r="F508">
        <v>17.8</v>
      </c>
      <c r="G508">
        <v>0.1</v>
      </c>
      <c r="J508" s="10" t="s">
        <v>420</v>
      </c>
      <c r="K508">
        <v>3680</v>
      </c>
    </row>
    <row r="509" spans="1:11" x14ac:dyDescent="0.2">
      <c r="A509" t="s">
        <v>423</v>
      </c>
      <c r="B509" s="9">
        <v>505</v>
      </c>
      <c r="C509" s="1">
        <v>45819</v>
      </c>
      <c r="D509" t="s">
        <v>7</v>
      </c>
      <c r="E509">
        <v>74.099999999999994</v>
      </c>
      <c r="G509">
        <v>0.19</v>
      </c>
      <c r="I509">
        <v>10</v>
      </c>
      <c r="J509" s="10"/>
      <c r="K509">
        <v>3681</v>
      </c>
    </row>
    <row r="510" spans="1:11" x14ac:dyDescent="0.2">
      <c r="A510" t="s">
        <v>425</v>
      </c>
      <c r="B510" s="9">
        <v>506</v>
      </c>
      <c r="C510" s="1">
        <v>45819</v>
      </c>
      <c r="D510" t="s">
        <v>7</v>
      </c>
      <c r="E510">
        <v>76.3</v>
      </c>
      <c r="G510">
        <v>0.17</v>
      </c>
      <c r="I510">
        <v>10</v>
      </c>
      <c r="J510" s="10"/>
      <c r="K510">
        <v>3682</v>
      </c>
    </row>
    <row r="511" spans="1:11" ht="17" thickBot="1" x14ac:dyDescent="0.25">
      <c r="A511" t="s">
        <v>425</v>
      </c>
      <c r="B511" s="11">
        <v>507</v>
      </c>
      <c r="C511" s="12">
        <v>45819</v>
      </c>
      <c r="D511" s="13" t="s">
        <v>5</v>
      </c>
      <c r="E511" s="13"/>
      <c r="F511" s="13">
        <v>83.6</v>
      </c>
      <c r="G511" s="13">
        <v>0.1</v>
      </c>
      <c r="H511" s="13"/>
      <c r="I511" s="13"/>
      <c r="J511" s="14" t="s">
        <v>424</v>
      </c>
      <c r="K511">
        <v>3683</v>
      </c>
    </row>
    <row r="512" spans="1:11" x14ac:dyDescent="0.2">
      <c r="A512" t="s">
        <v>427</v>
      </c>
      <c r="B512" s="5">
        <v>508</v>
      </c>
      <c r="C512" s="6">
        <v>45833</v>
      </c>
      <c r="D512" s="7" t="s">
        <v>6</v>
      </c>
      <c r="E512" s="7"/>
      <c r="F512" s="7">
        <v>11.8</v>
      </c>
      <c r="G512" s="7"/>
      <c r="H512" s="7" t="s">
        <v>38</v>
      </c>
      <c r="I512" s="7">
        <v>30</v>
      </c>
      <c r="J512" s="8" t="s">
        <v>426</v>
      </c>
      <c r="K512">
        <v>3723</v>
      </c>
    </row>
    <row r="513" spans="1:11" x14ac:dyDescent="0.2">
      <c r="A513" t="s">
        <v>428</v>
      </c>
      <c r="B513" s="9">
        <v>509</v>
      </c>
      <c r="C513" s="1">
        <v>45833</v>
      </c>
      <c r="D513" t="s">
        <v>5</v>
      </c>
      <c r="F513">
        <v>88</v>
      </c>
      <c r="J513" s="10"/>
      <c r="K513">
        <v>3724</v>
      </c>
    </row>
    <row r="514" spans="1:11" x14ac:dyDescent="0.2">
      <c r="A514" t="s">
        <v>428</v>
      </c>
      <c r="B514" s="9">
        <v>510</v>
      </c>
      <c r="C514" s="1">
        <v>45833</v>
      </c>
      <c r="D514" t="s">
        <v>7</v>
      </c>
      <c r="E514">
        <v>75.7</v>
      </c>
      <c r="J514" s="10" t="s">
        <v>149</v>
      </c>
      <c r="K514">
        <v>3725</v>
      </c>
    </row>
    <row r="515" spans="1:11" x14ac:dyDescent="0.2">
      <c r="A515" t="s">
        <v>429</v>
      </c>
      <c r="B515" s="9">
        <v>511</v>
      </c>
      <c r="C515" s="1">
        <v>45833</v>
      </c>
      <c r="D515" t="s">
        <v>5</v>
      </c>
      <c r="F515">
        <v>89.7</v>
      </c>
      <c r="J515" s="10"/>
      <c r="K515">
        <v>3726</v>
      </c>
    </row>
    <row r="516" spans="1:11" x14ac:dyDescent="0.2">
      <c r="A516" t="s">
        <v>430</v>
      </c>
      <c r="B516" s="9">
        <v>512</v>
      </c>
      <c r="C516" s="1">
        <v>45833</v>
      </c>
      <c r="D516" t="s">
        <v>7</v>
      </c>
      <c r="E516">
        <v>70.2</v>
      </c>
      <c r="H516" t="s">
        <v>37</v>
      </c>
      <c r="J516" s="10" t="s">
        <v>431</v>
      </c>
      <c r="K516">
        <v>3727</v>
      </c>
    </row>
    <row r="517" spans="1:11" x14ac:dyDescent="0.2">
      <c r="A517" t="s">
        <v>433</v>
      </c>
      <c r="B517" s="9">
        <v>513</v>
      </c>
      <c r="C517" s="1">
        <v>45833</v>
      </c>
      <c r="D517" t="s">
        <v>7</v>
      </c>
      <c r="E517">
        <v>77.7</v>
      </c>
      <c r="I517">
        <v>10</v>
      </c>
      <c r="J517" s="10" t="s">
        <v>432</v>
      </c>
      <c r="K517">
        <v>3728</v>
      </c>
    </row>
    <row r="518" spans="1:11" x14ac:dyDescent="0.2">
      <c r="A518" t="s">
        <v>435</v>
      </c>
      <c r="B518" s="9">
        <v>514</v>
      </c>
      <c r="C518" s="1">
        <v>45833</v>
      </c>
      <c r="D518" t="s">
        <v>7</v>
      </c>
      <c r="E518">
        <v>81.400000000000006</v>
      </c>
      <c r="I518">
        <v>10</v>
      </c>
      <c r="J518" s="10"/>
      <c r="K518">
        <v>3729</v>
      </c>
    </row>
    <row r="519" spans="1:11" x14ac:dyDescent="0.2">
      <c r="A519" t="s">
        <v>435</v>
      </c>
      <c r="B519" s="9">
        <v>515</v>
      </c>
      <c r="C519" s="1">
        <v>45833</v>
      </c>
      <c r="D519" t="s">
        <v>5</v>
      </c>
      <c r="F519">
        <v>82</v>
      </c>
      <c r="J519" s="10" t="s">
        <v>434</v>
      </c>
      <c r="K519">
        <v>3730</v>
      </c>
    </row>
    <row r="520" spans="1:11" x14ac:dyDescent="0.2">
      <c r="A520" t="s">
        <v>436</v>
      </c>
      <c r="B520" s="9">
        <v>516</v>
      </c>
      <c r="C520" s="1">
        <v>45833</v>
      </c>
      <c r="D520" t="s">
        <v>7</v>
      </c>
      <c r="E520">
        <v>90.3</v>
      </c>
      <c r="I520">
        <v>10</v>
      </c>
      <c r="J520" s="10"/>
      <c r="K520">
        <v>3731</v>
      </c>
    </row>
    <row r="521" spans="1:11" x14ac:dyDescent="0.2">
      <c r="A521" t="s">
        <v>437</v>
      </c>
      <c r="B521" s="9">
        <v>517</v>
      </c>
      <c r="C521" s="1">
        <v>45833</v>
      </c>
      <c r="D521" t="s">
        <v>7</v>
      </c>
      <c r="E521">
        <v>79.400000000000006</v>
      </c>
      <c r="J521" s="10"/>
      <c r="K521">
        <v>3732</v>
      </c>
    </row>
    <row r="522" spans="1:11" x14ac:dyDescent="0.2">
      <c r="A522" t="s">
        <v>437</v>
      </c>
      <c r="B522" s="9">
        <v>518</v>
      </c>
      <c r="C522" s="1">
        <v>45833</v>
      </c>
      <c r="D522" t="s">
        <v>7</v>
      </c>
      <c r="E522">
        <v>81.5</v>
      </c>
      <c r="J522" s="10" t="s">
        <v>438</v>
      </c>
      <c r="K522">
        <v>3733</v>
      </c>
    </row>
    <row r="523" spans="1:11" ht="17" thickBot="1" x14ac:dyDescent="0.25">
      <c r="A523" s="31">
        <v>656523</v>
      </c>
      <c r="B523" s="11">
        <v>519</v>
      </c>
      <c r="C523" s="12">
        <v>45833</v>
      </c>
      <c r="D523" s="13" t="s">
        <v>6</v>
      </c>
      <c r="E523" s="13"/>
      <c r="F523" s="13">
        <v>14.1</v>
      </c>
      <c r="G523" s="13"/>
      <c r="H523" s="13" t="s">
        <v>38</v>
      </c>
      <c r="I523" s="13"/>
      <c r="J523" s="14"/>
      <c r="K523">
        <v>3734</v>
      </c>
    </row>
    <row r="524" spans="1:11" x14ac:dyDescent="0.2">
      <c r="B524" s="5">
        <v>520</v>
      </c>
      <c r="C524" s="6">
        <v>45847</v>
      </c>
      <c r="D524" s="7" t="s">
        <v>6</v>
      </c>
      <c r="E524" s="7"/>
      <c r="F524" s="7">
        <v>12.4</v>
      </c>
      <c r="G524" s="7"/>
      <c r="H524" s="7" t="s">
        <v>38</v>
      </c>
      <c r="I524" s="7"/>
      <c r="J524" s="8" t="s">
        <v>440</v>
      </c>
      <c r="K524">
        <v>3800</v>
      </c>
    </row>
    <row r="525" spans="1:11" x14ac:dyDescent="0.2">
      <c r="B525" s="9">
        <v>521</v>
      </c>
      <c r="C525" s="1">
        <v>45847</v>
      </c>
      <c r="D525" t="s">
        <v>7</v>
      </c>
      <c r="E525">
        <v>76.3</v>
      </c>
      <c r="G525">
        <v>0.19</v>
      </c>
      <c r="I525">
        <v>8</v>
      </c>
      <c r="J525" s="10" t="s">
        <v>149</v>
      </c>
      <c r="K525">
        <v>3801</v>
      </c>
    </row>
    <row r="526" spans="1:11" x14ac:dyDescent="0.2">
      <c r="B526" s="9">
        <v>522</v>
      </c>
      <c r="C526" s="1">
        <v>45847</v>
      </c>
      <c r="D526" t="s">
        <v>21</v>
      </c>
      <c r="F526">
        <v>80.8</v>
      </c>
      <c r="G526">
        <v>0.13</v>
      </c>
      <c r="J526" s="10" t="s">
        <v>453</v>
      </c>
      <c r="K526">
        <v>3802</v>
      </c>
    </row>
    <row r="527" spans="1:11" x14ac:dyDescent="0.2">
      <c r="A527" t="s">
        <v>441</v>
      </c>
      <c r="B527" s="9">
        <v>523</v>
      </c>
      <c r="C527" s="1">
        <v>45847</v>
      </c>
      <c r="D527" t="s">
        <v>7</v>
      </c>
      <c r="E527">
        <v>79.400000000000006</v>
      </c>
      <c r="G527">
        <v>0.16</v>
      </c>
      <c r="J527" s="10"/>
      <c r="K527">
        <v>3803</v>
      </c>
    </row>
    <row r="528" spans="1:11" x14ac:dyDescent="0.2">
      <c r="A528" t="s">
        <v>443</v>
      </c>
      <c r="B528" s="9">
        <v>524</v>
      </c>
      <c r="C528" s="1">
        <v>45847</v>
      </c>
      <c r="D528" s="18" t="s">
        <v>442</v>
      </c>
      <c r="J528" s="10" t="s">
        <v>459</v>
      </c>
      <c r="K528">
        <v>3805</v>
      </c>
    </row>
    <row r="529" spans="1:11" x14ac:dyDescent="0.2">
      <c r="A529" t="s">
        <v>443</v>
      </c>
      <c r="B529" s="9">
        <v>525</v>
      </c>
      <c r="C529" s="1">
        <v>45847</v>
      </c>
      <c r="D529" s="18" t="s">
        <v>442</v>
      </c>
      <c r="J529" s="10" t="s">
        <v>459</v>
      </c>
      <c r="K529">
        <v>3806</v>
      </c>
    </row>
    <row r="530" spans="1:11" x14ac:dyDescent="0.2">
      <c r="A530" t="s">
        <v>443</v>
      </c>
      <c r="B530" s="9">
        <v>526</v>
      </c>
      <c r="C530" s="1">
        <v>45847</v>
      </c>
      <c r="D530" t="s">
        <v>7</v>
      </c>
      <c r="E530">
        <v>66.2</v>
      </c>
      <c r="G530">
        <v>0.18</v>
      </c>
      <c r="H530" t="s">
        <v>37</v>
      </c>
      <c r="I530">
        <v>10</v>
      </c>
      <c r="J530" s="10"/>
      <c r="K530">
        <v>3804</v>
      </c>
    </row>
    <row r="531" spans="1:11" x14ac:dyDescent="0.2">
      <c r="A531" t="s">
        <v>444</v>
      </c>
      <c r="B531" s="9">
        <v>527</v>
      </c>
      <c r="C531" s="1">
        <v>45847</v>
      </c>
      <c r="D531" t="s">
        <v>7</v>
      </c>
      <c r="E531">
        <v>55.5</v>
      </c>
      <c r="G531">
        <v>0.16</v>
      </c>
      <c r="I531">
        <v>6.5</v>
      </c>
      <c r="J531" s="10" t="s">
        <v>445</v>
      </c>
      <c r="K531">
        <v>3807</v>
      </c>
    </row>
    <row r="532" spans="1:11" x14ac:dyDescent="0.2">
      <c r="A532" t="s">
        <v>449</v>
      </c>
      <c r="B532" s="9">
        <v>528</v>
      </c>
      <c r="C532" s="1">
        <v>45847</v>
      </c>
      <c r="D532" t="s">
        <v>6</v>
      </c>
      <c r="F532">
        <v>5.5</v>
      </c>
      <c r="G532">
        <v>0.18</v>
      </c>
      <c r="H532" t="s">
        <v>47</v>
      </c>
      <c r="I532">
        <v>10</v>
      </c>
      <c r="J532" s="10"/>
      <c r="K532">
        <v>3808</v>
      </c>
    </row>
    <row r="533" spans="1:11" x14ac:dyDescent="0.2">
      <c r="A533" t="s">
        <v>449</v>
      </c>
      <c r="B533" s="9">
        <v>529</v>
      </c>
      <c r="C533" s="1">
        <v>45847</v>
      </c>
      <c r="D533" t="s">
        <v>447</v>
      </c>
      <c r="I533">
        <v>7</v>
      </c>
      <c r="J533" s="48" t="s">
        <v>448</v>
      </c>
      <c r="K533">
        <v>3809</v>
      </c>
    </row>
    <row r="534" spans="1:11" x14ac:dyDescent="0.2">
      <c r="A534" t="s">
        <v>450</v>
      </c>
      <c r="B534" s="9">
        <v>530</v>
      </c>
      <c r="C534" s="1">
        <v>45847</v>
      </c>
      <c r="D534" t="s">
        <v>7</v>
      </c>
      <c r="E534">
        <v>75.2</v>
      </c>
      <c r="G534">
        <v>0.16</v>
      </c>
      <c r="I534">
        <v>10</v>
      </c>
      <c r="J534" s="10"/>
      <c r="K534">
        <v>3810</v>
      </c>
    </row>
    <row r="535" spans="1:11" x14ac:dyDescent="0.2">
      <c r="B535" s="9">
        <v>531</v>
      </c>
      <c r="C535" s="1">
        <v>45847</v>
      </c>
      <c r="D535" t="s">
        <v>7</v>
      </c>
      <c r="E535">
        <v>75.7</v>
      </c>
      <c r="G535">
        <v>0.16</v>
      </c>
      <c r="I535">
        <v>10</v>
      </c>
      <c r="J535" s="10"/>
      <c r="K535">
        <v>3811</v>
      </c>
    </row>
    <row r="536" spans="1:11" x14ac:dyDescent="0.2">
      <c r="A536" t="s">
        <v>452</v>
      </c>
      <c r="B536" s="9">
        <v>532</v>
      </c>
      <c r="C536" s="1">
        <v>45847</v>
      </c>
      <c r="D536" t="s">
        <v>6</v>
      </c>
      <c r="F536">
        <v>15.4</v>
      </c>
      <c r="G536">
        <v>0.17</v>
      </c>
      <c r="H536" t="s">
        <v>38</v>
      </c>
      <c r="I536">
        <v>15</v>
      </c>
      <c r="J536" s="10"/>
      <c r="K536">
        <v>3812</v>
      </c>
    </row>
    <row r="537" spans="1:11" x14ac:dyDescent="0.2">
      <c r="A537" t="s">
        <v>455</v>
      </c>
      <c r="B537" s="9">
        <v>533</v>
      </c>
      <c r="C537" s="1">
        <v>45847</v>
      </c>
      <c r="D537" t="s">
        <v>7</v>
      </c>
      <c r="E537">
        <v>65.8</v>
      </c>
      <c r="G537">
        <v>0.15</v>
      </c>
      <c r="I537">
        <v>7.5</v>
      </c>
      <c r="J537" s="10"/>
      <c r="K537">
        <v>3813</v>
      </c>
    </row>
    <row r="538" spans="1:11" x14ac:dyDescent="0.2">
      <c r="A538" t="s">
        <v>455</v>
      </c>
      <c r="B538" s="9">
        <v>534</v>
      </c>
      <c r="C538" s="1">
        <v>45847</v>
      </c>
      <c r="D538" t="s">
        <v>21</v>
      </c>
      <c r="F538">
        <v>84</v>
      </c>
      <c r="G538">
        <v>0.11</v>
      </c>
      <c r="J538" s="10" t="s">
        <v>454</v>
      </c>
      <c r="K538">
        <v>3814</v>
      </c>
    </row>
    <row r="539" spans="1:11" x14ac:dyDescent="0.2">
      <c r="A539" t="s">
        <v>456</v>
      </c>
      <c r="B539" s="9">
        <v>535</v>
      </c>
      <c r="C539" s="1">
        <v>45847</v>
      </c>
      <c r="D539" t="s">
        <v>7</v>
      </c>
      <c r="E539">
        <v>69.5</v>
      </c>
      <c r="G539">
        <v>0.16</v>
      </c>
      <c r="H539" t="s">
        <v>37</v>
      </c>
      <c r="J539" s="10"/>
      <c r="K539">
        <v>3815</v>
      </c>
    </row>
    <row r="540" spans="1:11" ht="17" thickBot="1" x14ac:dyDescent="0.25">
      <c r="A540" t="s">
        <v>456</v>
      </c>
      <c r="B540" s="11">
        <v>536</v>
      </c>
      <c r="C540" s="12">
        <v>45847</v>
      </c>
      <c r="D540" s="13" t="s">
        <v>7</v>
      </c>
      <c r="E540" s="13">
        <v>69.7</v>
      </c>
      <c r="F540" s="13"/>
      <c r="G540" s="13">
        <v>0.24</v>
      </c>
      <c r="H540" s="13" t="s">
        <v>37</v>
      </c>
      <c r="I540" s="13"/>
      <c r="J540" s="14"/>
      <c r="K540">
        <v>3816</v>
      </c>
    </row>
    <row r="541" spans="1:11" x14ac:dyDescent="0.2">
      <c r="A541" t="s">
        <v>460</v>
      </c>
      <c r="B541" s="5">
        <v>537</v>
      </c>
      <c r="C541" s="6">
        <v>45861</v>
      </c>
      <c r="D541" s="7" t="s">
        <v>7</v>
      </c>
      <c r="E541" s="7">
        <v>74.599999999999994</v>
      </c>
      <c r="F541" s="7"/>
      <c r="G541" s="7">
        <v>0.09</v>
      </c>
      <c r="H541" s="7"/>
      <c r="I541" s="7">
        <v>10</v>
      </c>
      <c r="J541" s="8"/>
      <c r="K541">
        <v>3871</v>
      </c>
    </row>
    <row r="542" spans="1:11" x14ac:dyDescent="0.2">
      <c r="A542" t="s">
        <v>461</v>
      </c>
      <c r="B542" s="9">
        <v>538</v>
      </c>
      <c r="C542" s="1">
        <v>45861</v>
      </c>
      <c r="D542" t="s">
        <v>7</v>
      </c>
      <c r="E542">
        <v>60.1</v>
      </c>
      <c r="G542">
        <v>0.16</v>
      </c>
      <c r="J542" s="10" t="s">
        <v>330</v>
      </c>
      <c r="K542">
        <v>3872</v>
      </c>
    </row>
    <row r="543" spans="1:11" x14ac:dyDescent="0.2">
      <c r="A543" t="s">
        <v>462</v>
      </c>
      <c r="B543" s="9">
        <v>539</v>
      </c>
      <c r="C543" s="1">
        <v>45861</v>
      </c>
      <c r="D543" t="s">
        <v>7</v>
      </c>
      <c r="E543">
        <v>76.5</v>
      </c>
      <c r="G543">
        <v>0.17</v>
      </c>
      <c r="I543">
        <v>10</v>
      </c>
      <c r="J543" s="10"/>
      <c r="K543">
        <v>3873</v>
      </c>
    </row>
    <row r="544" spans="1:11" x14ac:dyDescent="0.2">
      <c r="A544" t="s">
        <v>462</v>
      </c>
      <c r="B544" s="9">
        <v>540</v>
      </c>
      <c r="C544" s="1">
        <v>45861</v>
      </c>
      <c r="D544" t="s">
        <v>21</v>
      </c>
      <c r="F544">
        <v>80</v>
      </c>
      <c r="G544">
        <v>0.13</v>
      </c>
      <c r="J544" s="10" t="s">
        <v>463</v>
      </c>
      <c r="K544">
        <v>3874</v>
      </c>
    </row>
    <row r="545" spans="1:11" x14ac:dyDescent="0.2">
      <c r="A545" t="s">
        <v>464</v>
      </c>
      <c r="B545" s="9">
        <v>541</v>
      </c>
      <c r="C545" s="1">
        <v>45861</v>
      </c>
      <c r="D545" t="s">
        <v>21</v>
      </c>
      <c r="F545">
        <v>85.2</v>
      </c>
      <c r="G545">
        <v>0.08</v>
      </c>
      <c r="J545" s="10" t="s">
        <v>465</v>
      </c>
      <c r="K545">
        <v>3875</v>
      </c>
    </row>
    <row r="546" spans="1:11" x14ac:dyDescent="0.2">
      <c r="A546" t="s">
        <v>466</v>
      </c>
      <c r="B546" s="9">
        <v>542</v>
      </c>
      <c r="C546" s="1">
        <v>45861</v>
      </c>
      <c r="D546" t="s">
        <v>7</v>
      </c>
      <c r="E546">
        <v>65.2</v>
      </c>
      <c r="G546">
        <v>0.17</v>
      </c>
      <c r="H546" t="s">
        <v>37</v>
      </c>
      <c r="I546">
        <v>10</v>
      </c>
      <c r="J546" s="10" t="s">
        <v>241</v>
      </c>
      <c r="K546">
        <v>3876</v>
      </c>
    </row>
    <row r="547" spans="1:11" x14ac:dyDescent="0.2">
      <c r="A547" t="s">
        <v>466</v>
      </c>
      <c r="B547" s="9">
        <v>543</v>
      </c>
      <c r="C547" s="1">
        <v>45861</v>
      </c>
      <c r="D547" t="s">
        <v>7</v>
      </c>
      <c r="E547">
        <v>65</v>
      </c>
      <c r="G547">
        <v>0.17</v>
      </c>
      <c r="H547" t="s">
        <v>37</v>
      </c>
      <c r="I547">
        <v>10</v>
      </c>
      <c r="J547" s="10" t="s">
        <v>241</v>
      </c>
      <c r="K547">
        <v>3877</v>
      </c>
    </row>
    <row r="548" spans="1:11" x14ac:dyDescent="0.2">
      <c r="A548" t="s">
        <v>467</v>
      </c>
      <c r="B548" s="9">
        <v>544</v>
      </c>
      <c r="C548" s="1">
        <v>45861</v>
      </c>
      <c r="D548" t="s">
        <v>7</v>
      </c>
      <c r="E548">
        <v>90.5</v>
      </c>
      <c r="G548">
        <v>0.46</v>
      </c>
      <c r="I548">
        <v>35</v>
      </c>
      <c r="J548" s="10"/>
      <c r="K548">
        <v>3878</v>
      </c>
    </row>
    <row r="549" spans="1:11" ht="17" thickBot="1" x14ac:dyDescent="0.25">
      <c r="A549" t="s">
        <v>467</v>
      </c>
      <c r="B549" s="11">
        <v>545</v>
      </c>
      <c r="C549" s="12">
        <v>45861</v>
      </c>
      <c r="D549" s="13" t="s">
        <v>21</v>
      </c>
      <c r="E549" s="13"/>
      <c r="F549" s="13">
        <v>82.3</v>
      </c>
      <c r="G549" s="13">
        <v>0.41</v>
      </c>
      <c r="H549" s="13"/>
      <c r="I549" s="13"/>
      <c r="J549" s="14" t="s">
        <v>468</v>
      </c>
      <c r="K549">
        <v>3879</v>
      </c>
    </row>
    <row r="550" spans="1:11" x14ac:dyDescent="0.2">
      <c r="B550" s="5">
        <v>546</v>
      </c>
      <c r="C550" s="6">
        <v>45889</v>
      </c>
      <c r="D550" s="7" t="s">
        <v>6</v>
      </c>
      <c r="E550" s="7"/>
      <c r="F550" s="7">
        <v>12.8</v>
      </c>
      <c r="G550" s="7"/>
      <c r="H550" s="7" t="s">
        <v>38</v>
      </c>
      <c r="I550" s="7"/>
      <c r="J550" s="8" t="s">
        <v>469</v>
      </c>
      <c r="K550">
        <v>3997</v>
      </c>
    </row>
    <row r="551" spans="1:11" x14ac:dyDescent="0.2">
      <c r="B551" s="9">
        <v>547</v>
      </c>
      <c r="C551" s="1">
        <v>45889</v>
      </c>
      <c r="D551" t="s">
        <v>6</v>
      </c>
      <c r="F551">
        <v>13</v>
      </c>
      <c r="H551" t="s">
        <v>38</v>
      </c>
      <c r="J551" s="10"/>
      <c r="K551">
        <v>3998</v>
      </c>
    </row>
    <row r="552" spans="1:11" x14ac:dyDescent="0.2">
      <c r="B552" s="9">
        <v>548</v>
      </c>
      <c r="C552" s="1">
        <v>45889</v>
      </c>
      <c r="D552" t="s">
        <v>7</v>
      </c>
      <c r="E552">
        <v>75.2</v>
      </c>
      <c r="G552">
        <v>0.2</v>
      </c>
      <c r="I552">
        <v>10</v>
      </c>
      <c r="J552" s="10"/>
      <c r="K552">
        <v>3999</v>
      </c>
    </row>
    <row r="553" spans="1:11" x14ac:dyDescent="0.2">
      <c r="A553" t="s">
        <v>470</v>
      </c>
      <c r="B553" s="9">
        <v>549</v>
      </c>
      <c r="C553" s="1">
        <v>45889</v>
      </c>
      <c r="D553" t="s">
        <v>7</v>
      </c>
      <c r="E553">
        <v>75.3</v>
      </c>
      <c r="G553">
        <v>0.17</v>
      </c>
      <c r="I553">
        <v>8</v>
      </c>
      <c r="J553" s="10"/>
      <c r="K553">
        <v>4000</v>
      </c>
    </row>
    <row r="554" spans="1:11" x14ac:dyDescent="0.2">
      <c r="A554" t="s">
        <v>472</v>
      </c>
      <c r="B554" s="9">
        <v>550</v>
      </c>
      <c r="C554" s="1">
        <v>45889</v>
      </c>
      <c r="D554" t="s">
        <v>21</v>
      </c>
      <c r="F554">
        <v>85.9</v>
      </c>
      <c r="J554" s="10" t="s">
        <v>471</v>
      </c>
      <c r="K554">
        <v>4001</v>
      </c>
    </row>
    <row r="555" spans="1:11" x14ac:dyDescent="0.2">
      <c r="A555" t="s">
        <v>473</v>
      </c>
      <c r="B555" s="9">
        <v>551</v>
      </c>
      <c r="C555" s="1">
        <v>45889</v>
      </c>
      <c r="D555" t="s">
        <v>6</v>
      </c>
      <c r="F555">
        <v>15.5</v>
      </c>
      <c r="G555">
        <v>0.17</v>
      </c>
      <c r="H555" t="s">
        <v>38</v>
      </c>
      <c r="J555" s="10"/>
      <c r="K555">
        <v>4002</v>
      </c>
    </row>
    <row r="556" spans="1:11" ht="17" thickBot="1" x14ac:dyDescent="0.25">
      <c r="A556" t="s">
        <v>473</v>
      </c>
      <c r="B556" s="11">
        <v>552</v>
      </c>
      <c r="C556" s="12">
        <v>45889</v>
      </c>
      <c r="D556" s="13" t="s">
        <v>6</v>
      </c>
      <c r="E556" s="13"/>
      <c r="F556" s="13">
        <v>12.9</v>
      </c>
      <c r="G556" s="13">
        <v>0.16</v>
      </c>
      <c r="H556" s="13" t="s">
        <v>38</v>
      </c>
      <c r="I556" s="13"/>
      <c r="J556" s="14"/>
      <c r="K556">
        <v>4003</v>
      </c>
    </row>
    <row r="557" spans="1:11" x14ac:dyDescent="0.2">
      <c r="A557" t="s">
        <v>475</v>
      </c>
      <c r="B557" s="5">
        <v>553</v>
      </c>
      <c r="C557" s="6">
        <v>45903</v>
      </c>
      <c r="D557" s="7" t="s">
        <v>7</v>
      </c>
      <c r="E557" s="7">
        <v>85.5</v>
      </c>
      <c r="F557" s="7"/>
      <c r="G557" s="7">
        <v>0.18</v>
      </c>
      <c r="H557" s="7"/>
      <c r="I557" s="7">
        <v>10</v>
      </c>
      <c r="J557" s="8"/>
      <c r="K557">
        <v>4048</v>
      </c>
    </row>
    <row r="558" spans="1:11" x14ac:dyDescent="0.2">
      <c r="A558" t="s">
        <v>475</v>
      </c>
      <c r="B558" s="9">
        <v>554</v>
      </c>
      <c r="C558" s="1">
        <v>45903</v>
      </c>
      <c r="D558" t="s">
        <v>5</v>
      </c>
      <c r="F558">
        <v>88.9</v>
      </c>
      <c r="G558">
        <v>0.13</v>
      </c>
      <c r="J558" s="10" t="s">
        <v>474</v>
      </c>
      <c r="K558">
        <v>4049</v>
      </c>
    </row>
    <row r="559" spans="1:11" x14ac:dyDescent="0.2">
      <c r="A559" t="s">
        <v>477</v>
      </c>
      <c r="B559" s="9">
        <v>555</v>
      </c>
      <c r="C559" s="1">
        <v>45903</v>
      </c>
      <c r="D559" t="s">
        <v>5</v>
      </c>
      <c r="F559">
        <v>83.6</v>
      </c>
      <c r="G559">
        <v>0.13</v>
      </c>
      <c r="J559" s="10" t="s">
        <v>476</v>
      </c>
      <c r="K559">
        <v>4050</v>
      </c>
    </row>
    <row r="560" spans="1:11" x14ac:dyDescent="0.2">
      <c r="A560" t="s">
        <v>479</v>
      </c>
      <c r="B560" s="9">
        <v>556</v>
      </c>
      <c r="C560" s="1">
        <v>45903</v>
      </c>
      <c r="D560" t="s">
        <v>7</v>
      </c>
      <c r="E560">
        <v>53.7</v>
      </c>
      <c r="G560">
        <v>0.19</v>
      </c>
      <c r="I560">
        <v>8</v>
      </c>
      <c r="J560" s="10"/>
      <c r="K560">
        <v>4051</v>
      </c>
    </row>
    <row r="561" spans="1:11" x14ac:dyDescent="0.2">
      <c r="A561" t="s">
        <v>479</v>
      </c>
      <c r="B561" s="9">
        <v>557</v>
      </c>
      <c r="C561" s="1">
        <v>45903</v>
      </c>
      <c r="D561" t="s">
        <v>5</v>
      </c>
      <c r="F561">
        <v>93.1</v>
      </c>
      <c r="G561">
        <v>0.08</v>
      </c>
      <c r="J561" s="10" t="s">
        <v>478</v>
      </c>
      <c r="K561">
        <v>4052</v>
      </c>
    </row>
    <row r="562" spans="1:11" x14ac:dyDescent="0.2">
      <c r="A562" t="s">
        <v>480</v>
      </c>
      <c r="B562" s="9">
        <v>558</v>
      </c>
      <c r="C562" s="1">
        <v>45903</v>
      </c>
      <c r="D562" t="s">
        <v>6</v>
      </c>
      <c r="F562">
        <v>10.9</v>
      </c>
      <c r="G562">
        <v>0.19</v>
      </c>
      <c r="H562" t="s">
        <v>38</v>
      </c>
      <c r="I562">
        <v>15</v>
      </c>
      <c r="J562" s="10"/>
      <c r="K562">
        <v>4053</v>
      </c>
    </row>
    <row r="563" spans="1:11" x14ac:dyDescent="0.2">
      <c r="A563" t="s">
        <v>482</v>
      </c>
      <c r="B563" s="9">
        <v>559</v>
      </c>
      <c r="C563" s="1">
        <v>45903</v>
      </c>
      <c r="D563" t="s">
        <v>7</v>
      </c>
      <c r="E563">
        <v>97.1</v>
      </c>
      <c r="G563">
        <v>0.4</v>
      </c>
      <c r="J563" s="10"/>
      <c r="K563">
        <v>4054</v>
      </c>
    </row>
    <row r="564" spans="1:11" x14ac:dyDescent="0.2">
      <c r="A564" t="s">
        <v>482</v>
      </c>
      <c r="B564" s="9">
        <v>560</v>
      </c>
      <c r="C564" s="1">
        <v>45903</v>
      </c>
      <c r="D564" t="s">
        <v>5</v>
      </c>
      <c r="F564">
        <v>82.5</v>
      </c>
      <c r="G564">
        <v>0.33</v>
      </c>
      <c r="I564">
        <v>30</v>
      </c>
      <c r="J564" s="10" t="s">
        <v>481</v>
      </c>
      <c r="K564">
        <v>4055</v>
      </c>
    </row>
    <row r="565" spans="1:11" x14ac:dyDescent="0.2">
      <c r="A565" t="s">
        <v>484</v>
      </c>
      <c r="B565" s="9">
        <v>561</v>
      </c>
      <c r="C565" s="1">
        <v>45903</v>
      </c>
      <c r="D565" t="s">
        <v>6</v>
      </c>
      <c r="F565">
        <v>15.1</v>
      </c>
      <c r="H565" t="s">
        <v>38</v>
      </c>
      <c r="J565" s="10" t="s">
        <v>226</v>
      </c>
      <c r="K565">
        <v>4056</v>
      </c>
    </row>
    <row r="566" spans="1:11" ht="17" thickBot="1" x14ac:dyDescent="0.25">
      <c r="A566" t="s">
        <v>484</v>
      </c>
      <c r="B566" s="11">
        <v>562</v>
      </c>
      <c r="C566" s="12">
        <v>45903</v>
      </c>
      <c r="D566" s="49" t="s">
        <v>6</v>
      </c>
      <c r="E566" s="13"/>
      <c r="F566" s="13"/>
      <c r="G566" s="13"/>
      <c r="H566" s="13"/>
      <c r="I566" s="13"/>
      <c r="J566" s="14" t="s">
        <v>483</v>
      </c>
      <c r="K566">
        <v>4057</v>
      </c>
    </row>
    <row r="567" spans="1:11" x14ac:dyDescent="0.2">
      <c r="A567" t="s">
        <v>485</v>
      </c>
      <c r="B567" s="5">
        <v>563</v>
      </c>
      <c r="C567" s="6">
        <v>45917</v>
      </c>
      <c r="D567" s="7" t="s">
        <v>6</v>
      </c>
      <c r="E567" s="7"/>
      <c r="F567" s="7">
        <v>13.6</v>
      </c>
      <c r="G567" s="7">
        <v>0.09</v>
      </c>
      <c r="H567" s="7" t="s">
        <v>38</v>
      </c>
      <c r="I567" s="7">
        <v>10</v>
      </c>
      <c r="J567" s="8"/>
      <c r="K567">
        <v>4119</v>
      </c>
    </row>
    <row r="568" spans="1:11" x14ac:dyDescent="0.2">
      <c r="A568" t="s">
        <v>486</v>
      </c>
      <c r="B568" s="9">
        <v>564</v>
      </c>
      <c r="C568" s="1">
        <v>45917</v>
      </c>
      <c r="D568" t="s">
        <v>7</v>
      </c>
      <c r="E568">
        <v>74.099999999999994</v>
      </c>
      <c r="G568">
        <v>0.18</v>
      </c>
      <c r="I568">
        <v>10</v>
      </c>
      <c r="J568" s="10"/>
      <c r="K568">
        <v>4120</v>
      </c>
    </row>
    <row r="569" spans="1:11" x14ac:dyDescent="0.2">
      <c r="A569" t="s">
        <v>486</v>
      </c>
      <c r="B569" s="9">
        <v>565</v>
      </c>
      <c r="C569" s="1">
        <v>45917</v>
      </c>
      <c r="D569" t="s">
        <v>5</v>
      </c>
      <c r="F569">
        <v>90.7</v>
      </c>
      <c r="G569">
        <v>0.11</v>
      </c>
      <c r="J569" s="10" t="s">
        <v>489</v>
      </c>
      <c r="K569">
        <v>4121</v>
      </c>
    </row>
    <row r="570" spans="1:11" x14ac:dyDescent="0.2">
      <c r="A570" t="s">
        <v>490</v>
      </c>
      <c r="B570" s="9">
        <v>566</v>
      </c>
      <c r="C570" s="1">
        <v>45917</v>
      </c>
      <c r="D570" t="s">
        <v>7</v>
      </c>
      <c r="E570">
        <v>68.5</v>
      </c>
      <c r="G570">
        <v>0.1</v>
      </c>
      <c r="J570" s="10" t="s">
        <v>487</v>
      </c>
      <c r="K570">
        <v>4122</v>
      </c>
    </row>
    <row r="571" spans="1:11" x14ac:dyDescent="0.2">
      <c r="A571" t="s">
        <v>490</v>
      </c>
      <c r="B571" s="9">
        <v>567</v>
      </c>
      <c r="C571" s="1">
        <v>45917</v>
      </c>
      <c r="D571" t="s">
        <v>5</v>
      </c>
      <c r="F571">
        <v>87.3</v>
      </c>
      <c r="G571">
        <v>0.08</v>
      </c>
      <c r="J571" s="10" t="s">
        <v>488</v>
      </c>
      <c r="K571">
        <v>4123</v>
      </c>
    </row>
    <row r="572" spans="1:11" x14ac:dyDescent="0.2">
      <c r="A572" t="s">
        <v>492</v>
      </c>
      <c r="B572" s="9">
        <v>568</v>
      </c>
      <c r="C572" s="1">
        <v>45917</v>
      </c>
      <c r="D572" t="s">
        <v>5</v>
      </c>
      <c r="F572">
        <v>86.2</v>
      </c>
      <c r="G572">
        <v>0.09</v>
      </c>
      <c r="J572" s="10" t="s">
        <v>491</v>
      </c>
      <c r="K572">
        <v>4124</v>
      </c>
    </row>
    <row r="573" spans="1:11" x14ac:dyDescent="0.2">
      <c r="A573" t="s">
        <v>494</v>
      </c>
      <c r="B573" s="9">
        <v>569</v>
      </c>
      <c r="C573" s="1">
        <v>45917</v>
      </c>
      <c r="D573" t="s">
        <v>7</v>
      </c>
      <c r="E573">
        <v>75.3</v>
      </c>
      <c r="G573">
        <v>0.17</v>
      </c>
      <c r="H573" t="s">
        <v>37</v>
      </c>
      <c r="I573">
        <v>7</v>
      </c>
      <c r="J573" s="10"/>
      <c r="K573">
        <v>4125</v>
      </c>
    </row>
    <row r="574" spans="1:11" x14ac:dyDescent="0.2">
      <c r="A574" t="s">
        <v>494</v>
      </c>
      <c r="B574" s="9">
        <v>570</v>
      </c>
      <c r="C574" s="1">
        <v>45917</v>
      </c>
      <c r="D574" t="s">
        <v>5</v>
      </c>
      <c r="F574">
        <v>87.1</v>
      </c>
      <c r="G574">
        <v>0.14000000000000001</v>
      </c>
      <c r="J574" s="10" t="s">
        <v>493</v>
      </c>
      <c r="K574">
        <v>4126</v>
      </c>
    </row>
    <row r="575" spans="1:11" x14ac:dyDescent="0.2">
      <c r="A575" t="s">
        <v>495</v>
      </c>
      <c r="B575" s="9">
        <v>571</v>
      </c>
      <c r="C575" s="1">
        <v>45917</v>
      </c>
      <c r="D575" t="s">
        <v>7</v>
      </c>
      <c r="E575">
        <v>77.2</v>
      </c>
      <c r="G575">
        <v>0.2</v>
      </c>
      <c r="H575" t="s">
        <v>37</v>
      </c>
      <c r="I575">
        <v>10</v>
      </c>
      <c r="J575" s="10"/>
      <c r="K575">
        <v>4127</v>
      </c>
    </row>
    <row r="576" spans="1:11" x14ac:dyDescent="0.2">
      <c r="A576" t="s">
        <v>497</v>
      </c>
      <c r="B576" s="9">
        <v>572</v>
      </c>
      <c r="C576" s="1">
        <v>45917</v>
      </c>
      <c r="D576" t="s">
        <v>7</v>
      </c>
      <c r="E576">
        <v>72</v>
      </c>
      <c r="G576">
        <v>0.21</v>
      </c>
      <c r="I576">
        <v>10</v>
      </c>
      <c r="J576" s="10"/>
      <c r="K576">
        <v>4128</v>
      </c>
    </row>
    <row r="577" spans="1:11" x14ac:dyDescent="0.2">
      <c r="A577" t="s">
        <v>497</v>
      </c>
      <c r="B577" s="9">
        <v>573</v>
      </c>
      <c r="C577" s="1">
        <v>45917</v>
      </c>
      <c r="D577" t="s">
        <v>5</v>
      </c>
      <c r="F577">
        <v>81.5</v>
      </c>
      <c r="G577">
        <v>0.14000000000000001</v>
      </c>
      <c r="J577" s="10" t="s">
        <v>496</v>
      </c>
      <c r="K577">
        <v>4129</v>
      </c>
    </row>
    <row r="578" spans="1:11" ht="17" thickBot="1" x14ac:dyDescent="0.25">
      <c r="A578" t="s">
        <v>499</v>
      </c>
      <c r="B578" s="11">
        <v>574</v>
      </c>
      <c r="C578" s="12">
        <v>45917</v>
      </c>
      <c r="D578" s="13" t="s">
        <v>5</v>
      </c>
      <c r="E578" s="13"/>
      <c r="F578" s="13">
        <v>85</v>
      </c>
      <c r="G578" s="13">
        <v>0.2</v>
      </c>
      <c r="H578" s="13"/>
      <c r="I578" s="13"/>
      <c r="J578" s="14" t="s">
        <v>498</v>
      </c>
      <c r="K578">
        <v>4130</v>
      </c>
    </row>
    <row r="579" spans="1:11" x14ac:dyDescent="0.2">
      <c r="A579" t="s">
        <v>501</v>
      </c>
      <c r="B579" s="5">
        <v>575</v>
      </c>
      <c r="C579" s="6">
        <v>45931</v>
      </c>
      <c r="D579" s="7" t="s">
        <v>7</v>
      </c>
      <c r="E579" s="7">
        <v>94.5</v>
      </c>
      <c r="F579" s="7"/>
      <c r="G579" s="7">
        <v>0.27</v>
      </c>
      <c r="H579" s="7"/>
      <c r="I579" s="7">
        <v>20</v>
      </c>
      <c r="J579" s="8"/>
      <c r="K579">
        <v>4163</v>
      </c>
    </row>
    <row r="580" spans="1:11" x14ac:dyDescent="0.2">
      <c r="A580" t="s">
        <v>501</v>
      </c>
      <c r="B580" s="9">
        <v>576</v>
      </c>
      <c r="C580" s="1">
        <v>45931</v>
      </c>
      <c r="D580" t="s">
        <v>5</v>
      </c>
      <c r="F580">
        <v>82.8</v>
      </c>
      <c r="G580">
        <v>0.26</v>
      </c>
      <c r="J580" s="10" t="s">
        <v>500</v>
      </c>
      <c r="K580">
        <v>4164</v>
      </c>
    </row>
    <row r="581" spans="1:11" x14ac:dyDescent="0.2">
      <c r="A581" t="s">
        <v>503</v>
      </c>
      <c r="B581" s="9">
        <v>577</v>
      </c>
      <c r="C581" s="1">
        <v>45931</v>
      </c>
      <c r="D581" t="s">
        <v>7</v>
      </c>
      <c r="E581">
        <v>74.5</v>
      </c>
      <c r="G581">
        <v>0.2</v>
      </c>
      <c r="I581">
        <v>8.3000000000000007</v>
      </c>
      <c r="J581" s="10" t="s">
        <v>149</v>
      </c>
      <c r="K581">
        <v>4165</v>
      </c>
    </row>
    <row r="582" spans="1:11" x14ac:dyDescent="0.2">
      <c r="A582" t="s">
        <v>503</v>
      </c>
      <c r="B582" s="9">
        <v>578</v>
      </c>
      <c r="C582" s="1">
        <v>45931</v>
      </c>
      <c r="D582" t="s">
        <v>7</v>
      </c>
      <c r="E582">
        <v>69.900000000000006</v>
      </c>
      <c r="G582">
        <v>0.16</v>
      </c>
      <c r="J582" s="10"/>
      <c r="K582">
        <v>4166</v>
      </c>
    </row>
    <row r="583" spans="1:11" x14ac:dyDescent="0.2">
      <c r="A583" t="s">
        <v>503</v>
      </c>
      <c r="B583" s="9">
        <v>579</v>
      </c>
      <c r="C583" s="1">
        <v>45931</v>
      </c>
      <c r="D583" t="s">
        <v>5</v>
      </c>
      <c r="F583">
        <v>85</v>
      </c>
      <c r="G583">
        <v>0.25</v>
      </c>
      <c r="J583" s="10" t="s">
        <v>502</v>
      </c>
      <c r="K583">
        <v>4167</v>
      </c>
    </row>
    <row r="584" spans="1:11" x14ac:dyDescent="0.2">
      <c r="A584" t="s">
        <v>505</v>
      </c>
      <c r="B584" s="9">
        <v>580</v>
      </c>
      <c r="C584" s="1">
        <v>45931</v>
      </c>
      <c r="D584" t="s">
        <v>6</v>
      </c>
      <c r="F584">
        <v>12.5</v>
      </c>
      <c r="H584" t="s">
        <v>504</v>
      </c>
      <c r="J584" s="10" t="s">
        <v>258</v>
      </c>
      <c r="K584">
        <v>4168</v>
      </c>
    </row>
    <row r="585" spans="1:11" x14ac:dyDescent="0.2">
      <c r="A585" t="s">
        <v>507</v>
      </c>
      <c r="B585" s="9">
        <v>581</v>
      </c>
      <c r="C585" s="1">
        <v>45931</v>
      </c>
      <c r="D585" t="s">
        <v>6</v>
      </c>
      <c r="F585">
        <v>3.7</v>
      </c>
      <c r="G585">
        <v>0.27</v>
      </c>
      <c r="H585" t="s">
        <v>47</v>
      </c>
      <c r="I585">
        <v>20</v>
      </c>
      <c r="J585" s="10"/>
      <c r="K585">
        <v>4169</v>
      </c>
    </row>
    <row r="586" spans="1:11" x14ac:dyDescent="0.2">
      <c r="A586" t="s">
        <v>507</v>
      </c>
      <c r="B586" s="9">
        <v>582</v>
      </c>
      <c r="C586" s="1">
        <v>45931</v>
      </c>
      <c r="D586" t="s">
        <v>7</v>
      </c>
      <c r="E586">
        <v>73.5</v>
      </c>
      <c r="G586">
        <v>0.19</v>
      </c>
      <c r="H586" t="s">
        <v>37</v>
      </c>
      <c r="J586" s="10" t="s">
        <v>506</v>
      </c>
      <c r="K586">
        <v>4170</v>
      </c>
    </row>
    <row r="587" spans="1:11" x14ac:dyDescent="0.2">
      <c r="A587" t="s">
        <v>509</v>
      </c>
      <c r="B587" s="9">
        <v>583</v>
      </c>
      <c r="C587" s="1">
        <v>45931</v>
      </c>
      <c r="D587" t="s">
        <v>7</v>
      </c>
      <c r="E587">
        <v>71.400000000000006</v>
      </c>
      <c r="G587">
        <v>0.16</v>
      </c>
      <c r="I587">
        <v>10</v>
      </c>
      <c r="J587" s="10"/>
      <c r="K587">
        <v>4171</v>
      </c>
    </row>
    <row r="588" spans="1:11" x14ac:dyDescent="0.2">
      <c r="A588" t="s">
        <v>509</v>
      </c>
      <c r="B588" s="9">
        <v>584</v>
      </c>
      <c r="C588" s="1">
        <v>45931</v>
      </c>
      <c r="D588" t="s">
        <v>5</v>
      </c>
      <c r="F588">
        <v>81.3</v>
      </c>
      <c r="G588">
        <v>0.14000000000000001</v>
      </c>
      <c r="J588" s="10" t="s">
        <v>508</v>
      </c>
      <c r="K588">
        <v>4172</v>
      </c>
    </row>
    <row r="589" spans="1:11" ht="17" thickBot="1" x14ac:dyDescent="0.25">
      <c r="A589" t="s">
        <v>511</v>
      </c>
      <c r="B589" s="11">
        <v>585</v>
      </c>
      <c r="C589" s="12">
        <v>45931</v>
      </c>
      <c r="D589" s="13" t="s">
        <v>5</v>
      </c>
      <c r="E589" s="13"/>
      <c r="F589" s="13">
        <v>86</v>
      </c>
      <c r="G589" s="13">
        <v>1.52</v>
      </c>
      <c r="H589" s="13"/>
      <c r="I589" s="13"/>
      <c r="J589" s="14" t="s">
        <v>510</v>
      </c>
      <c r="K589">
        <v>4173</v>
      </c>
    </row>
    <row r="590" spans="1:11" x14ac:dyDescent="0.2">
      <c r="A590" t="s">
        <v>512</v>
      </c>
      <c r="B590" s="5">
        <v>586</v>
      </c>
      <c r="C590" s="6">
        <v>45945</v>
      </c>
      <c r="D590" s="37" t="s">
        <v>6</v>
      </c>
      <c r="E590" s="7"/>
      <c r="F590" s="37">
        <v>3.7</v>
      </c>
      <c r="G590" s="7"/>
      <c r="H590" s="37" t="s">
        <v>47</v>
      </c>
      <c r="I590" s="7"/>
      <c r="J590" s="8" t="s">
        <v>524</v>
      </c>
      <c r="K590">
        <v>4227</v>
      </c>
    </row>
    <row r="591" spans="1:11" x14ac:dyDescent="0.2">
      <c r="A591" t="s">
        <v>512</v>
      </c>
      <c r="B591" s="9">
        <v>587</v>
      </c>
      <c r="C591" s="1">
        <v>45945</v>
      </c>
      <c r="D591" s="18" t="s">
        <v>6</v>
      </c>
      <c r="F591" s="18">
        <v>9.4</v>
      </c>
      <c r="H591" s="18" t="s">
        <v>47</v>
      </c>
      <c r="J591" s="10" t="s">
        <v>524</v>
      </c>
      <c r="K591">
        <v>4228</v>
      </c>
    </row>
    <row r="592" spans="1:11" x14ac:dyDescent="0.2">
      <c r="A592" t="s">
        <v>513</v>
      </c>
      <c r="B592" s="9">
        <v>588</v>
      </c>
      <c r="C592" s="1">
        <v>45945</v>
      </c>
      <c r="D592" t="s">
        <v>7</v>
      </c>
      <c r="E592">
        <v>88.8</v>
      </c>
      <c r="G592">
        <v>0.44</v>
      </c>
      <c r="I592">
        <v>50</v>
      </c>
      <c r="J592" s="10"/>
      <c r="K592">
        <v>4229</v>
      </c>
    </row>
    <row r="593" spans="1:11" x14ac:dyDescent="0.2">
      <c r="A593" t="s">
        <v>513</v>
      </c>
      <c r="B593" s="9">
        <v>589</v>
      </c>
      <c r="C593" s="1">
        <v>45945</v>
      </c>
      <c r="D593" t="s">
        <v>6</v>
      </c>
      <c r="F593">
        <v>8.5</v>
      </c>
      <c r="G593">
        <v>0.14000000000000001</v>
      </c>
      <c r="H593" t="s">
        <v>38</v>
      </c>
      <c r="I593">
        <v>10</v>
      </c>
      <c r="J593" s="10"/>
      <c r="K593">
        <v>4230</v>
      </c>
    </row>
    <row r="594" spans="1:11" x14ac:dyDescent="0.2">
      <c r="A594" t="s">
        <v>514</v>
      </c>
      <c r="B594" s="9">
        <v>590</v>
      </c>
      <c r="C594" s="1">
        <v>45945</v>
      </c>
      <c r="D594" t="s">
        <v>7</v>
      </c>
      <c r="E594">
        <v>65</v>
      </c>
      <c r="G594">
        <v>0.14000000000000001</v>
      </c>
      <c r="I594">
        <v>10</v>
      </c>
      <c r="J594" s="10"/>
      <c r="K594">
        <v>4231</v>
      </c>
    </row>
    <row r="595" spans="1:11" x14ac:dyDescent="0.2">
      <c r="A595" t="s">
        <v>516</v>
      </c>
      <c r="B595" s="9">
        <v>591</v>
      </c>
      <c r="C595" s="1">
        <v>45945</v>
      </c>
      <c r="D595" t="s">
        <v>7</v>
      </c>
      <c r="E595">
        <v>76.3</v>
      </c>
      <c r="G595">
        <v>0.16</v>
      </c>
      <c r="I595">
        <v>10</v>
      </c>
      <c r="J595" s="10"/>
      <c r="K595">
        <v>4232</v>
      </c>
    </row>
    <row r="596" spans="1:11" x14ac:dyDescent="0.2">
      <c r="A596" t="s">
        <v>516</v>
      </c>
      <c r="B596" s="9">
        <v>592</v>
      </c>
      <c r="C596" s="1">
        <v>45945</v>
      </c>
      <c r="D596" t="s">
        <v>5</v>
      </c>
      <c r="F596">
        <v>67.3</v>
      </c>
      <c r="G596">
        <v>0.15</v>
      </c>
      <c r="J596" s="10" t="s">
        <v>515</v>
      </c>
      <c r="K596">
        <v>4233</v>
      </c>
    </row>
    <row r="597" spans="1:11" x14ac:dyDescent="0.2">
      <c r="A597" t="s">
        <v>517</v>
      </c>
      <c r="B597" s="9">
        <v>593</v>
      </c>
      <c r="C597" s="1">
        <v>45945</v>
      </c>
      <c r="D597" t="s">
        <v>7</v>
      </c>
      <c r="E597">
        <v>67.099999999999994</v>
      </c>
      <c r="G597">
        <v>0.11</v>
      </c>
      <c r="I597">
        <v>10</v>
      </c>
      <c r="J597" s="10"/>
      <c r="K597">
        <v>4234</v>
      </c>
    </row>
    <row r="598" spans="1:11" x14ac:dyDescent="0.2">
      <c r="A598" t="s">
        <v>517</v>
      </c>
      <c r="B598" s="9">
        <v>594</v>
      </c>
      <c r="C598" s="1">
        <v>45945</v>
      </c>
      <c r="D598" t="s">
        <v>7</v>
      </c>
      <c r="E598">
        <v>72.099999999999994</v>
      </c>
      <c r="G598">
        <v>0.16</v>
      </c>
      <c r="I598">
        <v>10</v>
      </c>
      <c r="J598" s="10"/>
      <c r="K598">
        <v>4235</v>
      </c>
    </row>
    <row r="599" spans="1:11" x14ac:dyDescent="0.2">
      <c r="A599" t="s">
        <v>519</v>
      </c>
      <c r="B599" s="9">
        <v>595</v>
      </c>
      <c r="C599" s="1">
        <v>45945</v>
      </c>
      <c r="D599" t="s">
        <v>5</v>
      </c>
      <c r="F599">
        <v>91.1</v>
      </c>
      <c r="J599" s="10" t="s">
        <v>518</v>
      </c>
      <c r="K599">
        <v>4236</v>
      </c>
    </row>
    <row r="600" spans="1:11" x14ac:dyDescent="0.2">
      <c r="A600" t="s">
        <v>520</v>
      </c>
      <c r="B600" s="9">
        <v>596</v>
      </c>
      <c r="C600" s="1">
        <v>45945</v>
      </c>
      <c r="D600" t="s">
        <v>7</v>
      </c>
      <c r="E600">
        <v>77.900000000000006</v>
      </c>
      <c r="G600">
        <v>0.2</v>
      </c>
      <c r="H600" t="s">
        <v>37</v>
      </c>
      <c r="I600">
        <v>10</v>
      </c>
      <c r="J600" s="10"/>
      <c r="K600">
        <v>4237</v>
      </c>
    </row>
    <row r="601" spans="1:11" x14ac:dyDescent="0.2">
      <c r="A601" t="s">
        <v>522</v>
      </c>
      <c r="B601" s="9">
        <v>597</v>
      </c>
      <c r="C601" s="1">
        <v>45945</v>
      </c>
      <c r="D601" t="s">
        <v>5</v>
      </c>
      <c r="F601">
        <v>90.1</v>
      </c>
      <c r="G601">
        <v>7.0000000000000007E-2</v>
      </c>
      <c r="J601" s="10" t="s">
        <v>521</v>
      </c>
      <c r="K601">
        <v>4238</v>
      </c>
    </row>
    <row r="602" spans="1:11" ht="17" thickBot="1" x14ac:dyDescent="0.25">
      <c r="A602" t="s">
        <v>523</v>
      </c>
      <c r="B602" s="11">
        <v>598</v>
      </c>
      <c r="C602" s="12">
        <v>45945</v>
      </c>
      <c r="D602" s="13" t="s">
        <v>5</v>
      </c>
      <c r="E602" s="13"/>
      <c r="F602" s="13">
        <v>75.7</v>
      </c>
      <c r="G602" s="13">
        <v>7.0000000000000007E-2</v>
      </c>
      <c r="H602" s="13"/>
      <c r="I602" s="13"/>
      <c r="J602" s="14" t="s">
        <v>378</v>
      </c>
      <c r="K602">
        <v>4239</v>
      </c>
    </row>
    <row r="603" spans="1:11" x14ac:dyDescent="0.2">
      <c r="A603" t="s">
        <v>525</v>
      </c>
      <c r="B603" s="5">
        <v>599</v>
      </c>
      <c r="C603" s="6">
        <v>45959</v>
      </c>
      <c r="D603" s="7" t="s">
        <v>6</v>
      </c>
      <c r="E603" s="7"/>
      <c r="F603" s="7">
        <v>13.3</v>
      </c>
      <c r="G603" s="7">
        <v>0.23</v>
      </c>
      <c r="H603" s="7" t="s">
        <v>38</v>
      </c>
      <c r="I603" s="7"/>
      <c r="J603" s="8"/>
      <c r="K603">
        <v>4277</v>
      </c>
    </row>
    <row r="604" spans="1:11" x14ac:dyDescent="0.2">
      <c r="A604" t="s">
        <v>528</v>
      </c>
      <c r="B604" s="9">
        <v>600</v>
      </c>
      <c r="C604" s="1">
        <v>45959</v>
      </c>
      <c r="D604" t="s">
        <v>7</v>
      </c>
      <c r="E604">
        <v>89.8</v>
      </c>
      <c r="G604">
        <v>0.26</v>
      </c>
      <c r="J604" s="10" t="s">
        <v>526</v>
      </c>
      <c r="K604">
        <v>4278</v>
      </c>
    </row>
    <row r="605" spans="1:11" x14ac:dyDescent="0.2">
      <c r="A605" t="s">
        <v>528</v>
      </c>
      <c r="B605" s="9">
        <v>601</v>
      </c>
      <c r="C605" s="1">
        <v>45959</v>
      </c>
      <c r="D605" t="s">
        <v>6</v>
      </c>
      <c r="F605">
        <v>14.2</v>
      </c>
      <c r="G605">
        <v>0.39</v>
      </c>
      <c r="H605" t="s">
        <v>38</v>
      </c>
      <c r="J605" s="10"/>
      <c r="K605">
        <v>4279</v>
      </c>
    </row>
    <row r="606" spans="1:11" ht="17" thickBot="1" x14ac:dyDescent="0.25">
      <c r="A606" t="s">
        <v>528</v>
      </c>
      <c r="B606" s="11">
        <v>602</v>
      </c>
      <c r="C606" s="12">
        <v>45959</v>
      </c>
      <c r="D606" s="13" t="s">
        <v>5</v>
      </c>
      <c r="E606" s="13"/>
      <c r="F606" s="13">
        <v>88.8</v>
      </c>
      <c r="G606" s="13">
        <v>0.23</v>
      </c>
      <c r="H606" s="13"/>
      <c r="I606" s="13"/>
      <c r="J606" s="14" t="s">
        <v>527</v>
      </c>
      <c r="K606">
        <v>4280</v>
      </c>
    </row>
    <row r="607" spans="1:11" x14ac:dyDescent="0.2">
      <c r="A607" t="s">
        <v>540</v>
      </c>
      <c r="B607" s="5">
        <v>603</v>
      </c>
      <c r="C607" s="6">
        <v>45973</v>
      </c>
      <c r="D607" s="7" t="s">
        <v>6</v>
      </c>
      <c r="E607" s="7"/>
      <c r="F607" s="7">
        <v>13.2</v>
      </c>
      <c r="G607" s="7">
        <v>0.18</v>
      </c>
      <c r="H607" s="7" t="s">
        <v>38</v>
      </c>
      <c r="I607" s="7">
        <v>15</v>
      </c>
      <c r="J607" s="8"/>
    </row>
    <row r="608" spans="1:11" x14ac:dyDescent="0.2">
      <c r="A608" t="s">
        <v>534</v>
      </c>
      <c r="B608" s="9">
        <v>604</v>
      </c>
      <c r="C608" s="1">
        <v>45973</v>
      </c>
      <c r="D608" t="s">
        <v>530</v>
      </c>
      <c r="J608" s="10" t="s">
        <v>533</v>
      </c>
      <c r="K608">
        <v>4371</v>
      </c>
    </row>
    <row r="609" spans="1:11" x14ac:dyDescent="0.2">
      <c r="A609" t="s">
        <v>534</v>
      </c>
      <c r="B609" s="9">
        <v>605</v>
      </c>
      <c r="C609" s="1">
        <v>45973</v>
      </c>
      <c r="D609" t="s">
        <v>531</v>
      </c>
      <c r="J609" s="10" t="s">
        <v>533</v>
      </c>
      <c r="K609">
        <v>4372</v>
      </c>
    </row>
    <row r="610" spans="1:11" x14ac:dyDescent="0.2">
      <c r="A610" t="s">
        <v>534</v>
      </c>
      <c r="B610" s="9">
        <v>606</v>
      </c>
      <c r="C610" s="1">
        <v>45973</v>
      </c>
      <c r="D610" t="s">
        <v>61</v>
      </c>
      <c r="I610">
        <v>5</v>
      </c>
      <c r="J610" s="10" t="s">
        <v>529</v>
      </c>
      <c r="K610">
        <v>4373</v>
      </c>
    </row>
    <row r="611" spans="1:11" x14ac:dyDescent="0.2">
      <c r="A611" t="s">
        <v>534</v>
      </c>
      <c r="B611" s="9">
        <v>607</v>
      </c>
      <c r="C611" s="1">
        <v>45973</v>
      </c>
      <c r="D611" t="s">
        <v>61</v>
      </c>
      <c r="I611">
        <v>0.43</v>
      </c>
      <c r="J611" s="10" t="s">
        <v>532</v>
      </c>
      <c r="K611">
        <v>4374</v>
      </c>
    </row>
    <row r="612" spans="1:11" x14ac:dyDescent="0.2">
      <c r="A612" t="s">
        <v>536</v>
      </c>
      <c r="B612" s="9">
        <v>608</v>
      </c>
      <c r="C612" s="1">
        <v>45973</v>
      </c>
      <c r="D612" t="s">
        <v>7</v>
      </c>
      <c r="E612">
        <v>72.900000000000006</v>
      </c>
      <c r="G612">
        <v>0.18</v>
      </c>
      <c r="J612" s="10" t="s">
        <v>535</v>
      </c>
      <c r="K612">
        <v>4375</v>
      </c>
    </row>
    <row r="613" spans="1:11" x14ac:dyDescent="0.2">
      <c r="A613" t="s">
        <v>537</v>
      </c>
      <c r="B613" s="9">
        <v>609</v>
      </c>
      <c r="C613" s="1">
        <v>45973</v>
      </c>
      <c r="D613" t="s">
        <v>5</v>
      </c>
      <c r="F613">
        <v>91.8</v>
      </c>
      <c r="J613" s="10" t="s">
        <v>378</v>
      </c>
      <c r="K613">
        <v>4376</v>
      </c>
    </row>
    <row r="614" spans="1:11" x14ac:dyDescent="0.2">
      <c r="A614" t="s">
        <v>537</v>
      </c>
      <c r="B614" s="9">
        <v>610</v>
      </c>
      <c r="C614" s="1">
        <v>45973</v>
      </c>
      <c r="D614" t="s">
        <v>6</v>
      </c>
      <c r="F614">
        <v>8.9</v>
      </c>
      <c r="G614">
        <v>0.13</v>
      </c>
      <c r="H614" t="s">
        <v>38</v>
      </c>
      <c r="J614" s="10" t="s">
        <v>226</v>
      </c>
      <c r="K614">
        <v>4377</v>
      </c>
    </row>
    <row r="615" spans="1:11" x14ac:dyDescent="0.2">
      <c r="A615" t="s">
        <v>538</v>
      </c>
      <c r="B615" s="9">
        <v>611</v>
      </c>
      <c r="C615" s="1">
        <v>45973</v>
      </c>
      <c r="D615" t="s">
        <v>6</v>
      </c>
      <c r="F615">
        <v>12.3</v>
      </c>
      <c r="H615" t="s">
        <v>38</v>
      </c>
      <c r="J615" s="10"/>
      <c r="K615">
        <v>4378</v>
      </c>
    </row>
    <row r="616" spans="1:11" x14ac:dyDescent="0.2">
      <c r="A616" t="s">
        <v>539</v>
      </c>
      <c r="B616" s="9">
        <v>612</v>
      </c>
      <c r="C616" s="1">
        <v>45973</v>
      </c>
      <c r="D616" t="s">
        <v>61</v>
      </c>
      <c r="J616" s="10" t="s">
        <v>543</v>
      </c>
      <c r="K616">
        <v>4379</v>
      </c>
    </row>
    <row r="617" spans="1:11" x14ac:dyDescent="0.2">
      <c r="A617" t="s">
        <v>541</v>
      </c>
      <c r="B617" s="9">
        <v>613</v>
      </c>
      <c r="C617" s="1">
        <v>45973</v>
      </c>
      <c r="D617" t="s">
        <v>7</v>
      </c>
      <c r="E617">
        <v>67.7</v>
      </c>
      <c r="G617">
        <v>0.12</v>
      </c>
      <c r="I617">
        <v>10</v>
      </c>
      <c r="J617" s="10"/>
      <c r="K617">
        <v>4380</v>
      </c>
    </row>
    <row r="618" spans="1:11" x14ac:dyDescent="0.2">
      <c r="A618" t="s">
        <v>541</v>
      </c>
      <c r="B618" s="9">
        <v>614</v>
      </c>
      <c r="C618" s="1">
        <v>45973</v>
      </c>
      <c r="D618" t="s">
        <v>5</v>
      </c>
      <c r="F618">
        <v>83.3</v>
      </c>
      <c r="G618">
        <v>7.0000000000000007E-2</v>
      </c>
      <c r="J618" s="10" t="s">
        <v>544</v>
      </c>
      <c r="K618">
        <v>4381</v>
      </c>
    </row>
    <row r="619" spans="1:11" ht="17" thickBot="1" x14ac:dyDescent="0.25">
      <c r="A619" t="s">
        <v>542</v>
      </c>
      <c r="B619" s="11">
        <v>615</v>
      </c>
      <c r="C619" s="12">
        <v>45973</v>
      </c>
      <c r="D619" s="13" t="s">
        <v>7</v>
      </c>
      <c r="E619" s="13">
        <v>71.400000000000006</v>
      </c>
      <c r="F619" s="13"/>
      <c r="G619" s="13">
        <v>0.2</v>
      </c>
      <c r="H619" s="13" t="s">
        <v>37</v>
      </c>
      <c r="I619" s="13">
        <v>10</v>
      </c>
      <c r="J619" s="14"/>
      <c r="K619">
        <v>4382</v>
      </c>
    </row>
    <row r="620" spans="1:11" x14ac:dyDescent="0.2">
      <c r="A620" t="s">
        <v>552</v>
      </c>
      <c r="B620" s="5">
        <v>616</v>
      </c>
      <c r="C620" s="6">
        <v>45987</v>
      </c>
      <c r="D620" s="7" t="s">
        <v>551</v>
      </c>
      <c r="E620" s="7"/>
      <c r="F620" s="37">
        <v>2.4</v>
      </c>
      <c r="G620" s="7">
        <v>0.41</v>
      </c>
      <c r="H620" s="37" t="s">
        <v>47</v>
      </c>
      <c r="I620" s="7"/>
      <c r="J620" s="8" t="s">
        <v>553</v>
      </c>
      <c r="K620">
        <v>4423</v>
      </c>
    </row>
    <row r="621" spans="1:11" x14ac:dyDescent="0.2">
      <c r="A621" t="s">
        <v>555</v>
      </c>
      <c r="B621" s="9">
        <v>617</v>
      </c>
      <c r="C621" s="1">
        <v>45987</v>
      </c>
      <c r="D621" t="s">
        <v>7</v>
      </c>
      <c r="E621">
        <v>63.4</v>
      </c>
      <c r="G621">
        <v>0.15</v>
      </c>
      <c r="I621">
        <v>10</v>
      </c>
      <c r="J621" s="10"/>
      <c r="K621">
        <v>4424</v>
      </c>
    </row>
    <row r="622" spans="1:11" x14ac:dyDescent="0.2">
      <c r="A622" t="s">
        <v>555</v>
      </c>
      <c r="B622" s="9">
        <v>618</v>
      </c>
      <c r="C622" s="1">
        <v>45987</v>
      </c>
      <c r="D622" t="s">
        <v>21</v>
      </c>
      <c r="F622">
        <v>87.1</v>
      </c>
      <c r="J622" s="10" t="s">
        <v>554</v>
      </c>
      <c r="K622">
        <v>4425</v>
      </c>
    </row>
    <row r="623" spans="1:11" x14ac:dyDescent="0.2">
      <c r="A623" t="s">
        <v>556</v>
      </c>
      <c r="B623" s="9">
        <v>619</v>
      </c>
      <c r="C623" s="1">
        <v>45987</v>
      </c>
      <c r="D623" t="s">
        <v>7</v>
      </c>
      <c r="E623">
        <v>66.3</v>
      </c>
      <c r="G623">
        <v>0.18</v>
      </c>
      <c r="H623" t="s">
        <v>37</v>
      </c>
      <c r="I623">
        <v>10</v>
      </c>
      <c r="J623" s="10"/>
      <c r="K623">
        <v>4426</v>
      </c>
    </row>
    <row r="624" spans="1:11" x14ac:dyDescent="0.2">
      <c r="A624" t="s">
        <v>556</v>
      </c>
      <c r="B624" s="9">
        <v>620</v>
      </c>
      <c r="C624" s="1">
        <v>45987</v>
      </c>
      <c r="D624" t="s">
        <v>7</v>
      </c>
      <c r="E624">
        <v>76</v>
      </c>
      <c r="G624">
        <v>0.11</v>
      </c>
      <c r="I624">
        <v>10</v>
      </c>
      <c r="J624" s="10"/>
      <c r="K624">
        <v>4427</v>
      </c>
    </row>
    <row r="625" spans="1:11" x14ac:dyDescent="0.2">
      <c r="A625" t="s">
        <v>556</v>
      </c>
      <c r="B625" s="9">
        <v>621</v>
      </c>
      <c r="C625" s="1">
        <v>45987</v>
      </c>
      <c r="D625" t="s">
        <v>7</v>
      </c>
      <c r="E625">
        <v>69.5</v>
      </c>
      <c r="G625" s="46">
        <v>0.16</v>
      </c>
      <c r="H625" t="s">
        <v>37</v>
      </c>
      <c r="I625">
        <v>10</v>
      </c>
      <c r="J625" s="10"/>
      <c r="K625">
        <v>4428</v>
      </c>
    </row>
    <row r="626" spans="1:11" x14ac:dyDescent="0.2">
      <c r="A626" t="s">
        <v>556</v>
      </c>
      <c r="B626" s="9">
        <v>622</v>
      </c>
      <c r="C626" s="1">
        <v>45987</v>
      </c>
      <c r="D626" t="s">
        <v>21</v>
      </c>
      <c r="F626">
        <v>84.3</v>
      </c>
      <c r="J626" s="10" t="s">
        <v>557</v>
      </c>
      <c r="K626">
        <v>4429</v>
      </c>
    </row>
    <row r="627" spans="1:11" x14ac:dyDescent="0.2">
      <c r="A627" t="s">
        <v>556</v>
      </c>
      <c r="B627" s="9">
        <v>623</v>
      </c>
      <c r="C627" s="1">
        <v>45987</v>
      </c>
      <c r="D627" t="s">
        <v>21</v>
      </c>
      <c r="F627">
        <v>89.5</v>
      </c>
      <c r="J627" s="10" t="s">
        <v>558</v>
      </c>
      <c r="K627">
        <v>4430</v>
      </c>
    </row>
    <row r="628" spans="1:11" x14ac:dyDescent="0.2">
      <c r="A628" t="s">
        <v>560</v>
      </c>
      <c r="B628" s="9">
        <v>624</v>
      </c>
      <c r="C628" s="1">
        <v>45987</v>
      </c>
      <c r="D628" t="s">
        <v>7</v>
      </c>
      <c r="E628">
        <v>74.900000000000006</v>
      </c>
      <c r="G628">
        <v>0.2</v>
      </c>
      <c r="I628">
        <v>10</v>
      </c>
      <c r="J628" s="10"/>
      <c r="K628">
        <v>4431</v>
      </c>
    </row>
    <row r="629" spans="1:11" x14ac:dyDescent="0.2">
      <c r="A629" t="s">
        <v>560</v>
      </c>
      <c r="B629" s="9">
        <v>625</v>
      </c>
      <c r="C629" s="1">
        <v>45987</v>
      </c>
      <c r="D629" t="s">
        <v>21</v>
      </c>
      <c r="F629">
        <v>87.3</v>
      </c>
      <c r="G629">
        <v>0.13</v>
      </c>
      <c r="J629" s="10" t="s">
        <v>559</v>
      </c>
      <c r="K629">
        <v>4432</v>
      </c>
    </row>
    <row r="630" spans="1:11" x14ac:dyDescent="0.2">
      <c r="A630" t="s">
        <v>561</v>
      </c>
      <c r="B630" s="9">
        <v>626</v>
      </c>
      <c r="C630" s="1">
        <v>45987</v>
      </c>
      <c r="D630" t="s">
        <v>6</v>
      </c>
      <c r="F630">
        <v>8.1</v>
      </c>
      <c r="G630">
        <v>0.2</v>
      </c>
      <c r="H630" t="s">
        <v>38</v>
      </c>
      <c r="J630" s="10"/>
      <c r="K630">
        <v>4433</v>
      </c>
    </row>
    <row r="631" spans="1:11" x14ac:dyDescent="0.2">
      <c r="A631" t="s">
        <v>563</v>
      </c>
      <c r="B631" s="9">
        <v>627</v>
      </c>
      <c r="C631" s="1">
        <v>45987</v>
      </c>
      <c r="D631" t="s">
        <v>7</v>
      </c>
      <c r="E631">
        <v>96.5</v>
      </c>
      <c r="J631" s="10" t="s">
        <v>562</v>
      </c>
      <c r="K631">
        <v>4434</v>
      </c>
    </row>
    <row r="632" spans="1:11" x14ac:dyDescent="0.2">
      <c r="A632" t="s">
        <v>563</v>
      </c>
      <c r="B632" s="9">
        <v>628</v>
      </c>
      <c r="C632" s="1">
        <v>45987</v>
      </c>
      <c r="D632" t="s">
        <v>6</v>
      </c>
      <c r="F632">
        <v>12.6</v>
      </c>
      <c r="H632" t="s">
        <v>38</v>
      </c>
      <c r="J632" s="10"/>
      <c r="K632">
        <v>4435</v>
      </c>
    </row>
    <row r="633" spans="1:11" x14ac:dyDescent="0.2">
      <c r="A633" t="s">
        <v>564</v>
      </c>
      <c r="B633" s="9">
        <v>629</v>
      </c>
      <c r="C633" s="1">
        <v>45987</v>
      </c>
      <c r="D633" t="s">
        <v>551</v>
      </c>
      <c r="J633" s="10" t="s">
        <v>565</v>
      </c>
      <c r="K633">
        <v>4436</v>
      </c>
    </row>
    <row r="634" spans="1:11" x14ac:dyDescent="0.2">
      <c r="A634" t="s">
        <v>570</v>
      </c>
      <c r="B634" s="9">
        <v>630</v>
      </c>
      <c r="C634" s="1">
        <v>45987</v>
      </c>
      <c r="D634" t="s">
        <v>551</v>
      </c>
      <c r="F634" s="18">
        <v>15.4</v>
      </c>
      <c r="H634" s="18" t="s">
        <v>47</v>
      </c>
      <c r="J634" s="10" t="s">
        <v>567</v>
      </c>
      <c r="K634">
        <v>4437</v>
      </c>
    </row>
    <row r="635" spans="1:11" x14ac:dyDescent="0.2">
      <c r="A635" t="s">
        <v>569</v>
      </c>
      <c r="B635" s="9">
        <v>631</v>
      </c>
      <c r="C635" s="1">
        <v>45987</v>
      </c>
      <c r="D635" t="s">
        <v>7</v>
      </c>
      <c r="E635">
        <v>72</v>
      </c>
      <c r="G635">
        <v>0.16</v>
      </c>
      <c r="J635" s="10" t="s">
        <v>566</v>
      </c>
      <c r="K635">
        <v>4438</v>
      </c>
    </row>
    <row r="636" spans="1:11" x14ac:dyDescent="0.2">
      <c r="A636" t="s">
        <v>571</v>
      </c>
      <c r="B636" s="9">
        <v>632</v>
      </c>
      <c r="C636" s="1">
        <v>45987</v>
      </c>
      <c r="D636" t="s">
        <v>7</v>
      </c>
      <c r="E636">
        <v>81.3</v>
      </c>
      <c r="G636">
        <v>7.0000000000000007E-2</v>
      </c>
      <c r="J636" s="10" t="s">
        <v>159</v>
      </c>
      <c r="K636">
        <v>4439</v>
      </c>
    </row>
    <row r="637" spans="1:11" ht="17" thickBot="1" x14ac:dyDescent="0.25">
      <c r="A637" t="s">
        <v>571</v>
      </c>
      <c r="B637" s="11">
        <v>633</v>
      </c>
      <c r="C637" s="12">
        <v>45987</v>
      </c>
      <c r="D637" s="13" t="s">
        <v>7</v>
      </c>
      <c r="E637" s="13">
        <v>87.6</v>
      </c>
      <c r="F637" s="13"/>
      <c r="G637" s="13">
        <v>0.15</v>
      </c>
      <c r="H637" s="13"/>
      <c r="I637" s="13">
        <v>10</v>
      </c>
      <c r="J637" s="14"/>
      <c r="K637">
        <v>4440</v>
      </c>
    </row>
    <row r="638" spans="1:11" x14ac:dyDescent="0.2">
      <c r="A638" t="s">
        <v>572</v>
      </c>
      <c r="B638" s="5">
        <v>634</v>
      </c>
      <c r="C638" s="6">
        <v>46043</v>
      </c>
      <c r="D638" s="7" t="s">
        <v>7</v>
      </c>
      <c r="E638" s="7">
        <v>56.7</v>
      </c>
      <c r="F638" s="7"/>
      <c r="G638" s="7">
        <v>0.14000000000000001</v>
      </c>
      <c r="H638" s="7"/>
      <c r="I638" s="7">
        <v>8</v>
      </c>
      <c r="J638" s="8" t="s">
        <v>579</v>
      </c>
    </row>
    <row r="639" spans="1:11" x14ac:dyDescent="0.2">
      <c r="A639" t="s">
        <v>572</v>
      </c>
      <c r="B639" s="9">
        <v>635</v>
      </c>
      <c r="C639" s="1">
        <v>46043</v>
      </c>
      <c r="D639" t="s">
        <v>21</v>
      </c>
      <c r="F639">
        <v>86.1</v>
      </c>
      <c r="G639">
        <v>0.11</v>
      </c>
      <c r="J639" s="10" t="s">
        <v>574</v>
      </c>
    </row>
    <row r="640" spans="1:11" x14ac:dyDescent="0.2">
      <c r="A640" t="s">
        <v>573</v>
      </c>
      <c r="B640" s="9">
        <v>636</v>
      </c>
      <c r="C640" s="1">
        <v>46043</v>
      </c>
      <c r="D640" t="s">
        <v>21</v>
      </c>
      <c r="F640">
        <v>85.8</v>
      </c>
      <c r="G640">
        <v>0.09</v>
      </c>
      <c r="I640">
        <v>10</v>
      </c>
      <c r="J640" s="10" t="s">
        <v>580</v>
      </c>
    </row>
    <row r="641" spans="1:10" x14ac:dyDescent="0.2">
      <c r="A641" t="s">
        <v>573</v>
      </c>
      <c r="B641" s="9">
        <v>637</v>
      </c>
      <c r="C641" s="1">
        <v>46043</v>
      </c>
      <c r="D641" t="s">
        <v>6</v>
      </c>
      <c r="F641">
        <v>10.8</v>
      </c>
      <c r="G641">
        <v>0.11</v>
      </c>
      <c r="H641" t="s">
        <v>47</v>
      </c>
      <c r="I641">
        <v>15</v>
      </c>
      <c r="J641" s="10" t="s">
        <v>585</v>
      </c>
    </row>
    <row r="642" spans="1:10" x14ac:dyDescent="0.2">
      <c r="A642" t="s">
        <v>587</v>
      </c>
      <c r="B642" s="9">
        <v>638</v>
      </c>
      <c r="C642" s="1">
        <v>46043</v>
      </c>
      <c r="D642" t="s">
        <v>223</v>
      </c>
      <c r="E642">
        <v>96.7</v>
      </c>
      <c r="G642">
        <v>0.28000000000000003</v>
      </c>
      <c r="J642" s="10" t="s">
        <v>581</v>
      </c>
    </row>
    <row r="643" spans="1:10" x14ac:dyDescent="0.2">
      <c r="A643" t="s">
        <v>587</v>
      </c>
      <c r="B643" s="9">
        <v>639</v>
      </c>
      <c r="C643" s="1">
        <v>46043</v>
      </c>
      <c r="D643" t="s">
        <v>7</v>
      </c>
      <c r="E643">
        <v>62.2</v>
      </c>
      <c r="G643">
        <v>0.15</v>
      </c>
      <c r="I643">
        <v>8</v>
      </c>
      <c r="J643" s="10" t="s">
        <v>582</v>
      </c>
    </row>
    <row r="644" spans="1:10" x14ac:dyDescent="0.2">
      <c r="A644" t="s">
        <v>576</v>
      </c>
      <c r="B644" s="9">
        <v>640</v>
      </c>
      <c r="C644" s="1">
        <v>46043</v>
      </c>
      <c r="D644" t="s">
        <v>6</v>
      </c>
      <c r="F644" s="20">
        <v>8.9</v>
      </c>
      <c r="H644" t="s">
        <v>47</v>
      </c>
      <c r="J644" s="10" t="s">
        <v>586</v>
      </c>
    </row>
    <row r="645" spans="1:10" x14ac:dyDescent="0.2">
      <c r="A645" t="s">
        <v>576</v>
      </c>
      <c r="B645" s="9">
        <v>641</v>
      </c>
      <c r="C645" s="1">
        <v>46043</v>
      </c>
      <c r="D645" t="s">
        <v>7</v>
      </c>
      <c r="E645">
        <v>92</v>
      </c>
      <c r="J645" s="10" t="s">
        <v>584</v>
      </c>
    </row>
    <row r="646" spans="1:10" x14ac:dyDescent="0.2">
      <c r="A646" t="s">
        <v>576</v>
      </c>
      <c r="B646" s="9">
        <v>642</v>
      </c>
      <c r="C646" s="1">
        <v>46043</v>
      </c>
      <c r="D646" t="s">
        <v>7</v>
      </c>
      <c r="E646">
        <v>88.8</v>
      </c>
      <c r="J646" s="10" t="s">
        <v>583</v>
      </c>
    </row>
    <row r="647" spans="1:10" x14ac:dyDescent="0.2">
      <c r="A647" t="s">
        <v>576</v>
      </c>
      <c r="B647" s="9">
        <v>643</v>
      </c>
      <c r="C647" s="1">
        <v>46043</v>
      </c>
      <c r="D647" t="s">
        <v>21</v>
      </c>
      <c r="F647">
        <v>86.4</v>
      </c>
      <c r="J647" s="10" t="s">
        <v>575</v>
      </c>
    </row>
    <row r="648" spans="1:10" x14ac:dyDescent="0.2">
      <c r="A648" t="s">
        <v>577</v>
      </c>
      <c r="B648" s="9">
        <v>644</v>
      </c>
      <c r="C648" s="1">
        <v>46043</v>
      </c>
      <c r="D648" t="s">
        <v>21</v>
      </c>
      <c r="F648">
        <v>94.3</v>
      </c>
      <c r="G648">
        <v>0.12</v>
      </c>
      <c r="J648" s="10"/>
    </row>
    <row r="649" spans="1:10" x14ac:dyDescent="0.2">
      <c r="A649" t="s">
        <v>578</v>
      </c>
      <c r="B649" s="9">
        <v>645</v>
      </c>
      <c r="C649" s="1">
        <v>46043</v>
      </c>
      <c r="D649" t="s">
        <v>7</v>
      </c>
      <c r="E649">
        <v>65.5</v>
      </c>
      <c r="G649">
        <v>0.12</v>
      </c>
      <c r="I649">
        <v>8</v>
      </c>
      <c r="J649" s="10" t="s">
        <v>582</v>
      </c>
    </row>
    <row r="650" spans="1:10" ht="17" thickBot="1" x14ac:dyDescent="0.25">
      <c r="A650" t="s">
        <v>578</v>
      </c>
      <c r="B650" s="11">
        <v>646</v>
      </c>
      <c r="C650" s="12">
        <v>46043</v>
      </c>
      <c r="D650" s="13" t="s">
        <v>21</v>
      </c>
      <c r="E650" s="13"/>
      <c r="F650" s="13">
        <v>87</v>
      </c>
      <c r="G650" s="13"/>
      <c r="H650" s="13"/>
      <c r="I650" s="13"/>
      <c r="J650" s="14" t="s">
        <v>604</v>
      </c>
    </row>
    <row r="651" spans="1:10" x14ac:dyDescent="0.2">
      <c r="A651" t="s">
        <v>588</v>
      </c>
      <c r="B651" s="5">
        <v>647</v>
      </c>
      <c r="C651" s="6">
        <v>46057</v>
      </c>
      <c r="D651" s="7" t="s">
        <v>6</v>
      </c>
      <c r="E651" s="7"/>
      <c r="F651" s="7">
        <v>18.2</v>
      </c>
      <c r="G651" s="7">
        <v>0.14000000000000001</v>
      </c>
      <c r="H651" s="7" t="s">
        <v>47</v>
      </c>
      <c r="I651" s="7"/>
      <c r="J651" s="8" t="s">
        <v>602</v>
      </c>
    </row>
    <row r="652" spans="1:10" x14ac:dyDescent="0.2">
      <c r="A652" t="s">
        <v>589</v>
      </c>
      <c r="B652" s="9">
        <v>648</v>
      </c>
      <c r="C652" s="1">
        <v>46057</v>
      </c>
      <c r="D652" t="s">
        <v>7</v>
      </c>
      <c r="E652">
        <v>90.7</v>
      </c>
      <c r="G652">
        <v>0.24</v>
      </c>
      <c r="I652">
        <v>50</v>
      </c>
      <c r="J652" s="10" t="s">
        <v>596</v>
      </c>
    </row>
    <row r="653" spans="1:10" x14ac:dyDescent="0.2">
      <c r="A653" t="s">
        <v>590</v>
      </c>
      <c r="B653" s="9">
        <v>649</v>
      </c>
      <c r="C653" s="1">
        <v>46057</v>
      </c>
      <c r="D653" t="s">
        <v>7</v>
      </c>
      <c r="E653">
        <v>94.6</v>
      </c>
      <c r="G653">
        <v>0.43</v>
      </c>
      <c r="I653">
        <v>30</v>
      </c>
      <c r="J653" s="10" t="s">
        <v>597</v>
      </c>
    </row>
    <row r="654" spans="1:10" x14ac:dyDescent="0.2">
      <c r="A654" t="s">
        <v>590</v>
      </c>
      <c r="B654" s="9">
        <v>650</v>
      </c>
      <c r="C654" s="1">
        <v>46057</v>
      </c>
      <c r="D654" t="s">
        <v>21</v>
      </c>
      <c r="F654">
        <v>88.3</v>
      </c>
      <c r="G654">
        <v>0.32</v>
      </c>
      <c r="J654" s="10" t="s">
        <v>605</v>
      </c>
    </row>
    <row r="655" spans="1:10" x14ac:dyDescent="0.2">
      <c r="A655" t="s">
        <v>601</v>
      </c>
      <c r="B655" s="9">
        <v>651</v>
      </c>
      <c r="C655" s="1">
        <v>46057</v>
      </c>
      <c r="D655" t="s">
        <v>7</v>
      </c>
      <c r="E655">
        <v>92.2</v>
      </c>
      <c r="G655">
        <v>0.12</v>
      </c>
      <c r="I655">
        <v>10</v>
      </c>
      <c r="J655" s="10" t="s">
        <v>598</v>
      </c>
    </row>
    <row r="656" spans="1:10" x14ac:dyDescent="0.2">
      <c r="A656" t="s">
        <v>601</v>
      </c>
      <c r="B656" s="9">
        <v>652</v>
      </c>
      <c r="C656" s="1">
        <v>46057</v>
      </c>
      <c r="D656" t="s">
        <v>21</v>
      </c>
      <c r="F656">
        <v>88.5</v>
      </c>
      <c r="G656">
        <v>0.11</v>
      </c>
      <c r="J656" s="10" t="s">
        <v>606</v>
      </c>
    </row>
    <row r="657" spans="1:11" x14ac:dyDescent="0.2">
      <c r="A657" t="s">
        <v>592</v>
      </c>
      <c r="B657" s="9">
        <v>653</v>
      </c>
      <c r="C657" s="1">
        <v>46057</v>
      </c>
      <c r="D657" t="s">
        <v>6</v>
      </c>
      <c r="F657">
        <v>11</v>
      </c>
      <c r="G657">
        <v>0.2</v>
      </c>
      <c r="H657" t="s">
        <v>47</v>
      </c>
      <c r="I657">
        <v>10</v>
      </c>
      <c r="J657" s="10" t="s">
        <v>591</v>
      </c>
    </row>
    <row r="658" spans="1:11" x14ac:dyDescent="0.2">
      <c r="A658" t="s">
        <v>595</v>
      </c>
      <c r="B658" s="9">
        <v>654</v>
      </c>
      <c r="C658" s="1">
        <v>46057</v>
      </c>
      <c r="D658" t="s">
        <v>593</v>
      </c>
      <c r="E658">
        <v>85.3</v>
      </c>
      <c r="G658">
        <v>0.34</v>
      </c>
      <c r="I658">
        <v>20</v>
      </c>
      <c r="J658" s="10" t="s">
        <v>594</v>
      </c>
    </row>
    <row r="659" spans="1:11" x14ac:dyDescent="0.2">
      <c r="A659" t="s">
        <v>600</v>
      </c>
      <c r="B659" s="9">
        <v>655</v>
      </c>
      <c r="C659" s="1">
        <v>46057</v>
      </c>
      <c r="D659" t="s">
        <v>7</v>
      </c>
      <c r="E659">
        <v>88.1</v>
      </c>
      <c r="G659">
        <v>0.82</v>
      </c>
      <c r="I659">
        <v>70</v>
      </c>
      <c r="J659" s="10" t="s">
        <v>599</v>
      </c>
    </row>
    <row r="660" spans="1:11" ht="17" thickBot="1" x14ac:dyDescent="0.25">
      <c r="A660" t="s">
        <v>600</v>
      </c>
      <c r="B660" s="11">
        <v>656</v>
      </c>
      <c r="C660" s="12">
        <v>46057</v>
      </c>
      <c r="D660" s="13" t="s">
        <v>21</v>
      </c>
      <c r="E660" s="13"/>
      <c r="F660" s="13">
        <v>88.1</v>
      </c>
      <c r="G660" s="13">
        <v>0.3</v>
      </c>
      <c r="H660" s="13"/>
      <c r="I660" s="13"/>
      <c r="J660" s="14" t="s">
        <v>603</v>
      </c>
    </row>
    <row r="661" spans="1:11" x14ac:dyDescent="0.2">
      <c r="A661" t="s">
        <v>609</v>
      </c>
      <c r="B661" s="5">
        <v>657</v>
      </c>
      <c r="C661" s="6">
        <v>46085</v>
      </c>
      <c r="D661" s="7" t="s">
        <v>7</v>
      </c>
      <c r="E661" s="7">
        <v>63.2</v>
      </c>
      <c r="F661" s="7"/>
      <c r="G661" s="7">
        <v>0.13</v>
      </c>
      <c r="H661" s="7"/>
      <c r="I661" s="7">
        <v>10</v>
      </c>
      <c r="J661" s="8"/>
      <c r="K661">
        <v>4797</v>
      </c>
    </row>
    <row r="662" spans="1:11" x14ac:dyDescent="0.2">
      <c r="A662" t="s">
        <v>609</v>
      </c>
      <c r="B662" s="9">
        <v>658</v>
      </c>
      <c r="C662" s="1">
        <v>46085</v>
      </c>
      <c r="D662" t="s">
        <v>5</v>
      </c>
      <c r="F662">
        <v>93.3</v>
      </c>
      <c r="G662">
        <v>0.08</v>
      </c>
      <c r="J662" s="10" t="s">
        <v>608</v>
      </c>
      <c r="K662">
        <v>4798</v>
      </c>
    </row>
    <row r="663" spans="1:11" x14ac:dyDescent="0.2">
      <c r="A663" t="s">
        <v>612</v>
      </c>
      <c r="B663" s="9">
        <v>659</v>
      </c>
      <c r="C663" s="1">
        <v>46085</v>
      </c>
      <c r="D663" t="s">
        <v>5</v>
      </c>
      <c r="F663">
        <v>91.7</v>
      </c>
      <c r="G663">
        <v>0.09</v>
      </c>
      <c r="J663" s="10"/>
      <c r="K663">
        <v>4799</v>
      </c>
    </row>
    <row r="664" spans="1:11" x14ac:dyDescent="0.2">
      <c r="A664" t="s">
        <v>612</v>
      </c>
      <c r="B664" s="9">
        <v>660</v>
      </c>
      <c r="C664" s="1">
        <v>46085</v>
      </c>
      <c r="D664" t="s">
        <v>7</v>
      </c>
      <c r="E664">
        <v>75.7</v>
      </c>
      <c r="G664">
        <v>0.46</v>
      </c>
      <c r="H664" t="s">
        <v>37</v>
      </c>
      <c r="J664" s="10" t="s">
        <v>611</v>
      </c>
      <c r="K664">
        <v>4800</v>
      </c>
    </row>
    <row r="665" spans="1:11" x14ac:dyDescent="0.2">
      <c r="A665" t="s">
        <v>612</v>
      </c>
      <c r="B665" s="9">
        <v>661</v>
      </c>
      <c r="C665" s="1">
        <v>46085</v>
      </c>
      <c r="D665" t="s">
        <v>6</v>
      </c>
      <c r="F665">
        <v>12.5</v>
      </c>
      <c r="H665" t="s">
        <v>47</v>
      </c>
      <c r="J665" s="10" t="s">
        <v>610</v>
      </c>
      <c r="K665">
        <v>4801</v>
      </c>
    </row>
    <row r="666" spans="1:11" x14ac:dyDescent="0.2">
      <c r="A666" t="s">
        <v>614</v>
      </c>
      <c r="B666" s="9">
        <v>662</v>
      </c>
      <c r="C666" s="1">
        <v>46085</v>
      </c>
      <c r="D666" t="s">
        <v>7</v>
      </c>
      <c r="E666">
        <v>71.8</v>
      </c>
      <c r="G666">
        <v>0.22</v>
      </c>
      <c r="H666" t="s">
        <v>37</v>
      </c>
      <c r="I666">
        <v>10</v>
      </c>
      <c r="J666" s="10"/>
      <c r="K666">
        <v>4802</v>
      </c>
    </row>
    <row r="667" spans="1:11" x14ac:dyDescent="0.2">
      <c r="A667" t="s">
        <v>614</v>
      </c>
      <c r="B667" s="9">
        <v>663</v>
      </c>
      <c r="C667" s="1">
        <v>46085</v>
      </c>
      <c r="D667" t="s">
        <v>5</v>
      </c>
      <c r="F667">
        <v>86.7</v>
      </c>
      <c r="G667">
        <v>0.16</v>
      </c>
      <c r="J667" s="10" t="s">
        <v>613</v>
      </c>
      <c r="K667">
        <v>4803</v>
      </c>
    </row>
    <row r="668" spans="1:11" x14ac:dyDescent="0.2">
      <c r="A668" t="s">
        <v>615</v>
      </c>
      <c r="B668" s="9">
        <v>664</v>
      </c>
      <c r="C668" s="1">
        <v>46085</v>
      </c>
      <c r="D668" t="s">
        <v>7</v>
      </c>
      <c r="E668">
        <v>76.599999999999994</v>
      </c>
      <c r="G668">
        <v>0.11</v>
      </c>
      <c r="J668" s="10"/>
      <c r="K668">
        <v>4804</v>
      </c>
    </row>
    <row r="669" spans="1:11" x14ac:dyDescent="0.2">
      <c r="A669" t="s">
        <v>619</v>
      </c>
      <c r="B669" s="9">
        <v>665</v>
      </c>
      <c r="C669" s="1">
        <v>46085</v>
      </c>
      <c r="D669" t="s">
        <v>7</v>
      </c>
      <c r="E669">
        <v>64.5</v>
      </c>
      <c r="G669">
        <v>0.13</v>
      </c>
      <c r="I669">
        <v>10</v>
      </c>
      <c r="J669" s="10"/>
      <c r="K669">
        <v>4805</v>
      </c>
    </row>
    <row r="670" spans="1:11" x14ac:dyDescent="0.2">
      <c r="A670" t="s">
        <v>619</v>
      </c>
      <c r="B670" s="9">
        <v>666</v>
      </c>
      <c r="C670" s="1">
        <v>46085</v>
      </c>
      <c r="D670" t="s">
        <v>7</v>
      </c>
      <c r="E670">
        <v>64.7</v>
      </c>
      <c r="J670" s="10" t="s">
        <v>617</v>
      </c>
      <c r="K670">
        <v>4806</v>
      </c>
    </row>
    <row r="671" spans="1:11" x14ac:dyDescent="0.2">
      <c r="A671" t="s">
        <v>619</v>
      </c>
      <c r="B671" s="9">
        <v>667</v>
      </c>
      <c r="C671" s="35">
        <v>46085</v>
      </c>
      <c r="D671" t="s">
        <v>5</v>
      </c>
      <c r="F671">
        <v>85.5</v>
      </c>
      <c r="G671">
        <v>0.15</v>
      </c>
      <c r="J671" s="10" t="s">
        <v>618</v>
      </c>
      <c r="K671">
        <v>4807</v>
      </c>
    </row>
    <row r="672" spans="1:11" ht="17" thickBot="1" x14ac:dyDescent="0.25">
      <c r="A672" t="s">
        <v>621</v>
      </c>
      <c r="B672" s="11">
        <v>668</v>
      </c>
      <c r="C672" s="56">
        <v>46085</v>
      </c>
      <c r="D672" s="13" t="s">
        <v>5</v>
      </c>
      <c r="E672" s="13"/>
      <c r="F672" s="13">
        <v>86</v>
      </c>
      <c r="G672" s="13"/>
      <c r="H672" s="13"/>
      <c r="I672" s="13"/>
      <c r="J672" s="14" t="s">
        <v>620</v>
      </c>
      <c r="K672">
        <v>4808</v>
      </c>
    </row>
    <row r="673" spans="2:10" x14ac:dyDescent="0.2">
      <c r="B673" s="5">
        <v>669</v>
      </c>
      <c r="C673" s="6">
        <v>46099</v>
      </c>
      <c r="D673" s="7" t="s">
        <v>7</v>
      </c>
      <c r="E673" s="7">
        <v>75.8</v>
      </c>
      <c r="F673" s="7"/>
      <c r="G673" s="7" t="s">
        <v>622</v>
      </c>
      <c r="H673" s="7"/>
      <c r="I673" s="7">
        <v>10</v>
      </c>
      <c r="J673" s="8" t="s">
        <v>627</v>
      </c>
    </row>
    <row r="674" spans="2:10" x14ac:dyDescent="0.2">
      <c r="B674" s="9">
        <v>670</v>
      </c>
      <c r="C674" s="1">
        <v>46099</v>
      </c>
      <c r="D674" t="s">
        <v>7</v>
      </c>
      <c r="E674">
        <v>74</v>
      </c>
      <c r="G674" t="s">
        <v>622</v>
      </c>
      <c r="H674" t="s">
        <v>37</v>
      </c>
      <c r="I674">
        <v>10</v>
      </c>
      <c r="J674" s="10"/>
    </row>
    <row r="675" spans="2:10" x14ac:dyDescent="0.2">
      <c r="B675" s="9">
        <v>671</v>
      </c>
      <c r="C675" s="1">
        <v>46099</v>
      </c>
      <c r="D675" t="s">
        <v>5</v>
      </c>
      <c r="F675">
        <v>88.7</v>
      </c>
      <c r="G675" t="s">
        <v>623</v>
      </c>
      <c r="J675" s="10" t="s">
        <v>630</v>
      </c>
    </row>
    <row r="676" spans="2:10" x14ac:dyDescent="0.2">
      <c r="B676" s="9">
        <v>672</v>
      </c>
      <c r="C676" s="1">
        <v>46099</v>
      </c>
      <c r="D676" t="s">
        <v>593</v>
      </c>
      <c r="E676">
        <v>57.4</v>
      </c>
      <c r="G676" t="s">
        <v>624</v>
      </c>
      <c r="I676">
        <v>10</v>
      </c>
      <c r="J676" s="10" t="s">
        <v>627</v>
      </c>
    </row>
    <row r="677" spans="2:10" x14ac:dyDescent="0.2">
      <c r="B677" s="9">
        <v>673</v>
      </c>
      <c r="C677" s="1">
        <v>46099</v>
      </c>
      <c r="D677" t="s">
        <v>7</v>
      </c>
      <c r="E677">
        <v>61.1</v>
      </c>
      <c r="G677" t="s">
        <v>625</v>
      </c>
      <c r="I677">
        <v>10</v>
      </c>
      <c r="J677" s="10" t="s">
        <v>627</v>
      </c>
    </row>
    <row r="678" spans="2:10" x14ac:dyDescent="0.2">
      <c r="B678" s="9">
        <v>674</v>
      </c>
      <c r="C678" s="1">
        <v>46099</v>
      </c>
      <c r="D678" t="s">
        <v>7</v>
      </c>
      <c r="E678">
        <v>84.1</v>
      </c>
      <c r="G678" t="s">
        <v>626</v>
      </c>
      <c r="I678">
        <v>10</v>
      </c>
      <c r="J678" s="10" t="s">
        <v>628</v>
      </c>
    </row>
    <row r="679" spans="2:10" x14ac:dyDescent="0.2">
      <c r="B679" s="9">
        <v>675</v>
      </c>
      <c r="C679" s="1">
        <v>46099</v>
      </c>
      <c r="D679" t="s">
        <v>7</v>
      </c>
      <c r="E679">
        <v>77.599999999999994</v>
      </c>
      <c r="G679" t="s">
        <v>629</v>
      </c>
      <c r="I679">
        <v>10</v>
      </c>
      <c r="J679" s="10"/>
    </row>
    <row r="680" spans="2:10" x14ac:dyDescent="0.2">
      <c r="B680" s="9">
        <v>676</v>
      </c>
      <c r="C680" s="1">
        <v>46099</v>
      </c>
      <c r="D680" t="s">
        <v>7</v>
      </c>
      <c r="E680">
        <v>60.8</v>
      </c>
      <c r="G680" t="s">
        <v>626</v>
      </c>
      <c r="H680" t="s">
        <v>37</v>
      </c>
      <c r="I680">
        <v>10</v>
      </c>
      <c r="J680" s="10"/>
    </row>
    <row r="681" spans="2:10" x14ac:dyDescent="0.2">
      <c r="B681" s="9">
        <v>677</v>
      </c>
      <c r="C681" s="1">
        <v>46099</v>
      </c>
      <c r="D681" t="s">
        <v>5</v>
      </c>
      <c r="F681">
        <v>85.5</v>
      </c>
      <c r="G681" t="s">
        <v>622</v>
      </c>
      <c r="J681" s="10" t="s">
        <v>631</v>
      </c>
    </row>
    <row r="682" spans="2:10" x14ac:dyDescent="0.2">
      <c r="B682" s="9">
        <v>678</v>
      </c>
      <c r="C682" s="1">
        <v>46099</v>
      </c>
      <c r="D682" t="s">
        <v>7</v>
      </c>
      <c r="E682">
        <v>61.2</v>
      </c>
      <c r="G682" t="s">
        <v>632</v>
      </c>
      <c r="J682" s="10" t="s">
        <v>159</v>
      </c>
    </row>
    <row r="683" spans="2:10" ht="17" thickBot="1" x14ac:dyDescent="0.25">
      <c r="B683" s="11">
        <v>679</v>
      </c>
      <c r="C683" s="12">
        <v>46099</v>
      </c>
      <c r="D683" s="13" t="s">
        <v>6</v>
      </c>
      <c r="E683" s="13"/>
      <c r="F683" s="13">
        <v>11</v>
      </c>
      <c r="G683" s="13" t="s">
        <v>633</v>
      </c>
      <c r="H683" s="13" t="s">
        <v>47</v>
      </c>
      <c r="I683" s="13">
        <v>15</v>
      </c>
      <c r="J683" s="14"/>
    </row>
    <row r="684" spans="2:10" x14ac:dyDescent="0.2">
      <c r="B684" s="5">
        <v>680</v>
      </c>
      <c r="C684" s="6">
        <v>46113</v>
      </c>
      <c r="D684" s="7" t="s">
        <v>6</v>
      </c>
      <c r="E684" s="7"/>
      <c r="F684" s="7">
        <v>19.2</v>
      </c>
      <c r="G684" s="7" t="s">
        <v>625</v>
      </c>
      <c r="H684" s="7" t="s">
        <v>47</v>
      </c>
      <c r="I684" s="7"/>
      <c r="J684" s="8"/>
    </row>
    <row r="685" spans="2:10" x14ac:dyDescent="0.2">
      <c r="B685" s="9">
        <v>681</v>
      </c>
      <c r="C685" s="1">
        <v>46113</v>
      </c>
      <c r="D685" t="s">
        <v>7</v>
      </c>
      <c r="E685">
        <v>86.3</v>
      </c>
      <c r="G685" t="s">
        <v>629</v>
      </c>
      <c r="J685" s="10"/>
    </row>
    <row r="686" spans="2:10" x14ac:dyDescent="0.2">
      <c r="B686" s="9">
        <v>682</v>
      </c>
      <c r="C686" s="1">
        <v>46113</v>
      </c>
      <c r="D686" t="s">
        <v>6</v>
      </c>
      <c r="F686">
        <v>13.1</v>
      </c>
      <c r="H686" t="s">
        <v>47</v>
      </c>
      <c r="J686" s="10" t="s">
        <v>652</v>
      </c>
    </row>
    <row r="687" spans="2:10" x14ac:dyDescent="0.2">
      <c r="B687" s="9">
        <v>683</v>
      </c>
      <c r="C687" s="1">
        <v>46113</v>
      </c>
      <c r="D687" s="18" t="s">
        <v>6</v>
      </c>
      <c r="F687" s="18">
        <v>14.1</v>
      </c>
      <c r="G687" t="s">
        <v>635</v>
      </c>
      <c r="H687" s="18" t="s">
        <v>659</v>
      </c>
      <c r="J687" s="10" t="s">
        <v>634</v>
      </c>
    </row>
    <row r="688" spans="2:10" x14ac:dyDescent="0.2">
      <c r="B688" s="9">
        <v>684</v>
      </c>
      <c r="C688" s="1">
        <v>46113</v>
      </c>
      <c r="D688" t="s">
        <v>7</v>
      </c>
      <c r="E688">
        <v>69.099999999999994</v>
      </c>
      <c r="J688" s="10"/>
    </row>
    <row r="689" spans="2:10" x14ac:dyDescent="0.2">
      <c r="B689" s="9">
        <v>685</v>
      </c>
      <c r="C689" s="1">
        <v>46113</v>
      </c>
      <c r="D689" t="s">
        <v>5</v>
      </c>
      <c r="F689">
        <v>87.8</v>
      </c>
      <c r="J689" s="10" t="s">
        <v>636</v>
      </c>
    </row>
    <row r="690" spans="2:10" x14ac:dyDescent="0.2">
      <c r="B690" s="9">
        <v>686</v>
      </c>
      <c r="C690" s="1">
        <v>46113</v>
      </c>
      <c r="D690" t="s">
        <v>593</v>
      </c>
      <c r="E690">
        <v>68.8</v>
      </c>
      <c r="J690" s="10" t="s">
        <v>637</v>
      </c>
    </row>
    <row r="691" spans="2:10" x14ac:dyDescent="0.2">
      <c r="B691" s="9">
        <v>687</v>
      </c>
      <c r="C691" s="1">
        <v>46113</v>
      </c>
      <c r="D691" t="s">
        <v>7</v>
      </c>
      <c r="E691">
        <v>54.2</v>
      </c>
      <c r="G691" t="s">
        <v>640</v>
      </c>
      <c r="I691">
        <v>25</v>
      </c>
      <c r="J691" s="10" t="s">
        <v>638</v>
      </c>
    </row>
    <row r="692" spans="2:10" x14ac:dyDescent="0.2">
      <c r="B692" s="9">
        <v>688</v>
      </c>
      <c r="C692" s="1">
        <v>46113</v>
      </c>
      <c r="D692" t="s">
        <v>5</v>
      </c>
      <c r="F692">
        <v>87.9</v>
      </c>
      <c r="G692" t="s">
        <v>626</v>
      </c>
      <c r="J692" s="10" t="s">
        <v>639</v>
      </c>
    </row>
    <row r="693" spans="2:10" x14ac:dyDescent="0.2">
      <c r="B693" s="9">
        <v>689</v>
      </c>
      <c r="C693" s="1">
        <v>46113</v>
      </c>
      <c r="D693" t="s">
        <v>5</v>
      </c>
      <c r="F693">
        <v>66.8</v>
      </c>
      <c r="G693" t="s">
        <v>643</v>
      </c>
      <c r="J693" s="10" t="s">
        <v>642</v>
      </c>
    </row>
    <row r="694" spans="2:10" x14ac:dyDescent="0.2">
      <c r="B694" s="9">
        <v>690</v>
      </c>
      <c r="C694" s="1">
        <v>46113</v>
      </c>
      <c r="D694" t="s">
        <v>5</v>
      </c>
      <c r="F694">
        <v>53</v>
      </c>
      <c r="G694" t="s">
        <v>644</v>
      </c>
      <c r="J694" s="10" t="s">
        <v>641</v>
      </c>
    </row>
    <row r="695" spans="2:10" x14ac:dyDescent="0.2">
      <c r="B695" s="9">
        <v>691</v>
      </c>
      <c r="C695" s="1">
        <v>46113</v>
      </c>
      <c r="D695" t="s">
        <v>7</v>
      </c>
      <c r="E695">
        <v>60.8</v>
      </c>
      <c r="G695" t="s">
        <v>626</v>
      </c>
      <c r="I695">
        <v>10</v>
      </c>
      <c r="J695" s="10"/>
    </row>
    <row r="696" spans="2:10" x14ac:dyDescent="0.2">
      <c r="B696" s="9">
        <v>692</v>
      </c>
      <c r="C696" s="1">
        <v>46113</v>
      </c>
      <c r="D696" t="s">
        <v>5</v>
      </c>
      <c r="F696">
        <v>88.2</v>
      </c>
      <c r="G696" t="s">
        <v>623</v>
      </c>
      <c r="J696" s="10" t="s">
        <v>645</v>
      </c>
    </row>
    <row r="697" spans="2:10" x14ac:dyDescent="0.2">
      <c r="B697" s="9">
        <v>693</v>
      </c>
      <c r="C697" s="1">
        <v>46113</v>
      </c>
      <c r="D697" t="s">
        <v>7</v>
      </c>
      <c r="E697">
        <v>81.8</v>
      </c>
      <c r="G697" t="s">
        <v>646</v>
      </c>
      <c r="I697">
        <v>30</v>
      </c>
      <c r="J697" s="10"/>
    </row>
    <row r="698" spans="2:10" x14ac:dyDescent="0.2">
      <c r="B698" s="9">
        <v>694</v>
      </c>
      <c r="C698" s="1">
        <v>46113</v>
      </c>
      <c r="D698" t="s">
        <v>7</v>
      </c>
      <c r="E698">
        <v>57.1</v>
      </c>
      <c r="G698" t="s">
        <v>647</v>
      </c>
      <c r="H698" t="s">
        <v>37</v>
      </c>
      <c r="I698">
        <v>8</v>
      </c>
      <c r="J698" s="10"/>
    </row>
    <row r="699" spans="2:10" x14ac:dyDescent="0.2">
      <c r="B699" s="9">
        <v>695</v>
      </c>
      <c r="C699" s="1">
        <v>46113</v>
      </c>
      <c r="D699" t="s">
        <v>5</v>
      </c>
      <c r="F699">
        <v>91.9</v>
      </c>
      <c r="G699" t="s">
        <v>623</v>
      </c>
      <c r="J699" s="10" t="s">
        <v>648</v>
      </c>
    </row>
    <row r="700" spans="2:10" x14ac:dyDescent="0.2">
      <c r="B700" s="9">
        <v>696</v>
      </c>
      <c r="C700" s="1">
        <v>46113</v>
      </c>
      <c r="D700" t="s">
        <v>7</v>
      </c>
      <c r="E700">
        <v>77.599999999999994</v>
      </c>
      <c r="G700" t="s">
        <v>622</v>
      </c>
      <c r="J700" s="10" t="s">
        <v>159</v>
      </c>
    </row>
    <row r="701" spans="2:10" x14ac:dyDescent="0.2">
      <c r="B701" s="9">
        <v>697</v>
      </c>
      <c r="C701" s="1">
        <v>46113</v>
      </c>
      <c r="D701" t="s">
        <v>7</v>
      </c>
      <c r="E701">
        <v>89.9</v>
      </c>
      <c r="G701" t="s">
        <v>651</v>
      </c>
      <c r="I701">
        <v>40</v>
      </c>
      <c r="J701" s="10"/>
    </row>
    <row r="702" spans="2:10" x14ac:dyDescent="0.2">
      <c r="B702" s="9">
        <v>698</v>
      </c>
      <c r="C702" s="1">
        <v>46113</v>
      </c>
      <c r="D702" t="s">
        <v>5</v>
      </c>
      <c r="F702">
        <v>87.9</v>
      </c>
      <c r="G702" t="s">
        <v>654</v>
      </c>
      <c r="J702" s="10" t="s">
        <v>653</v>
      </c>
    </row>
    <row r="703" spans="2:10" x14ac:dyDescent="0.2">
      <c r="B703" s="9">
        <v>699</v>
      </c>
      <c r="C703" s="1">
        <v>46113</v>
      </c>
      <c r="D703" t="s">
        <v>151</v>
      </c>
      <c r="F703">
        <v>27.3</v>
      </c>
      <c r="G703">
        <v>2</v>
      </c>
      <c r="J703" s="10" t="s">
        <v>656</v>
      </c>
    </row>
    <row r="704" spans="2:10" x14ac:dyDescent="0.2">
      <c r="B704" s="9">
        <v>700</v>
      </c>
      <c r="C704" s="1">
        <v>46113</v>
      </c>
      <c r="D704" t="s">
        <v>7</v>
      </c>
      <c r="E704">
        <v>86.2</v>
      </c>
      <c r="G704" t="s">
        <v>624</v>
      </c>
      <c r="I704">
        <v>10</v>
      </c>
      <c r="J704" s="10"/>
    </row>
    <row r="705" spans="2:10" ht="17" thickBot="1" x14ac:dyDescent="0.25">
      <c r="B705" s="11">
        <v>701</v>
      </c>
      <c r="C705" s="12">
        <v>46113</v>
      </c>
      <c r="D705" s="13" t="s">
        <v>5</v>
      </c>
      <c r="E705" s="13"/>
      <c r="F705" s="13">
        <v>86.5</v>
      </c>
      <c r="G705" s="13" t="s">
        <v>622</v>
      </c>
      <c r="H705" s="13"/>
      <c r="I705" s="13"/>
      <c r="J705" s="14" t="s">
        <v>657</v>
      </c>
    </row>
    <row r="706" spans="2:10" x14ac:dyDescent="0.2">
      <c r="B706" s="57"/>
      <c r="J706" s="58"/>
    </row>
    <row r="707" spans="2:10" x14ac:dyDescent="0.2">
      <c r="B707" s="57"/>
      <c r="J707" s="58"/>
    </row>
    <row r="708" spans="2:10" x14ac:dyDescent="0.2">
      <c r="B708" s="57"/>
      <c r="J708" s="58"/>
    </row>
    <row r="709" spans="2:10" x14ac:dyDescent="0.2">
      <c r="B709" s="57"/>
      <c r="J709" s="58"/>
    </row>
    <row r="710" spans="2:10" x14ac:dyDescent="0.2">
      <c r="J710" s="58"/>
    </row>
    <row r="711" spans="2:10" x14ac:dyDescent="0.2">
      <c r="J711" s="58"/>
    </row>
    <row r="712" spans="2:10" x14ac:dyDescent="0.2">
      <c r="J712" s="58"/>
    </row>
  </sheetData>
  <phoneticPr fontId="3" type="noConversion"/>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349C-9DB9-9A47-A2D9-53ED0C3F582F}">
  <sheetPr codeName="Feuil2"/>
  <dimension ref="A1:AE389"/>
  <sheetViews>
    <sheetView tabSelected="1" zoomScale="228" zoomScaleNormal="280" workbookViewId="0">
      <selection activeCell="M5" sqref="A1:XFD1048576"/>
    </sheetView>
  </sheetViews>
  <sheetFormatPr baseColWidth="10" defaultRowHeight="16" x14ac:dyDescent="0.2"/>
  <cols>
    <col min="8" max="8" width="18.5" bestFit="1" customWidth="1"/>
    <col min="9" max="9" width="11.6640625" bestFit="1" customWidth="1"/>
    <col min="22" max="22" width="15.33203125" bestFit="1" customWidth="1"/>
  </cols>
  <sheetData>
    <row r="1" spans="1:31" x14ac:dyDescent="0.2">
      <c r="A1" t="s">
        <v>0</v>
      </c>
      <c r="B1" t="s">
        <v>4</v>
      </c>
      <c r="C1" t="s">
        <v>1</v>
      </c>
      <c r="D1" t="s">
        <v>12</v>
      </c>
      <c r="E1" t="s">
        <v>3</v>
      </c>
      <c r="V1" s="18" t="s">
        <v>26</v>
      </c>
      <c r="W1" t="s">
        <v>0</v>
      </c>
      <c r="X1" t="s">
        <v>4</v>
      </c>
      <c r="Y1" t="s">
        <v>1</v>
      </c>
      <c r="Z1" t="s">
        <v>12</v>
      </c>
    </row>
    <row r="2" spans="1:31" x14ac:dyDescent="0.2">
      <c r="A2">
        <v>1</v>
      </c>
      <c r="B2" s="1">
        <v>44872</v>
      </c>
      <c r="C2" t="s">
        <v>7</v>
      </c>
      <c r="D2">
        <v>58.3</v>
      </c>
      <c r="E2">
        <v>52</v>
      </c>
      <c r="W2">
        <v>1</v>
      </c>
      <c r="X2" s="1">
        <v>45623</v>
      </c>
      <c r="Y2" t="s">
        <v>7</v>
      </c>
      <c r="Z2">
        <v>26.3</v>
      </c>
      <c r="AB2" t="s">
        <v>126</v>
      </c>
      <c r="AC2" t="s">
        <v>127</v>
      </c>
      <c r="AD2" t="s">
        <v>128</v>
      </c>
      <c r="AE2" t="s">
        <v>45</v>
      </c>
    </row>
    <row r="3" spans="1:31" x14ac:dyDescent="0.2">
      <c r="A3">
        <v>2</v>
      </c>
      <c r="B3" s="1">
        <v>44872</v>
      </c>
      <c r="C3" t="s">
        <v>7</v>
      </c>
      <c r="D3">
        <v>69.7</v>
      </c>
      <c r="E3">
        <v>62.2</v>
      </c>
      <c r="W3">
        <v>2</v>
      </c>
      <c r="X3" s="1">
        <v>45805</v>
      </c>
      <c r="Y3" t="s">
        <v>7</v>
      </c>
      <c r="Z3">
        <v>31.2</v>
      </c>
      <c r="AB3" t="s">
        <v>129</v>
      </c>
      <c r="AC3">
        <v>30</v>
      </c>
      <c r="AD3" cm="1">
        <f t="array" ref="AD3:AD11">FREQUENCY(Z2:Z401,AC3:AC10)</f>
        <v>1</v>
      </c>
      <c r="AE3" s="20">
        <f>(AD3/AD$12)*100</f>
        <v>0.25773195876288657</v>
      </c>
    </row>
    <row r="4" spans="1:31" x14ac:dyDescent="0.2">
      <c r="A4">
        <v>3</v>
      </c>
      <c r="B4" s="1">
        <v>44872</v>
      </c>
      <c r="C4" t="s">
        <v>7</v>
      </c>
      <c r="D4">
        <v>77.099999999999994</v>
      </c>
      <c r="E4">
        <v>68.8</v>
      </c>
      <c r="W4">
        <v>3</v>
      </c>
      <c r="X4" s="1">
        <v>45637</v>
      </c>
      <c r="Y4" t="s">
        <v>7</v>
      </c>
      <c r="Z4">
        <v>36.9</v>
      </c>
      <c r="AB4" s="30" t="s">
        <v>130</v>
      </c>
      <c r="AC4">
        <v>40</v>
      </c>
      <c r="AD4">
        <v>5</v>
      </c>
      <c r="AE4" s="19">
        <f t="shared" ref="AE4:AE10" si="0">(AD4/AD$12)*100</f>
        <v>1.2886597938144329</v>
      </c>
    </row>
    <row r="5" spans="1:31" ht="17" thickBot="1" x14ac:dyDescent="0.25">
      <c r="A5">
        <v>4</v>
      </c>
      <c r="B5" s="12">
        <v>44872</v>
      </c>
      <c r="C5" s="13" t="s">
        <v>7</v>
      </c>
      <c r="D5" s="13">
        <v>83.9</v>
      </c>
      <c r="E5" s="13">
        <v>74.900000000000006</v>
      </c>
      <c r="W5">
        <v>4</v>
      </c>
      <c r="X5" s="12">
        <v>45518</v>
      </c>
      <c r="Y5" s="13" t="s">
        <v>7</v>
      </c>
      <c r="Z5" s="13">
        <v>37.5</v>
      </c>
      <c r="AB5" t="s">
        <v>131</v>
      </c>
      <c r="AC5">
        <v>50</v>
      </c>
      <c r="AD5">
        <v>14</v>
      </c>
      <c r="AE5" s="19">
        <f t="shared" si="0"/>
        <v>3.608247422680412</v>
      </c>
    </row>
    <row r="6" spans="1:31" x14ac:dyDescent="0.2">
      <c r="A6">
        <v>5</v>
      </c>
      <c r="B6" s="6">
        <v>44909</v>
      </c>
      <c r="C6" s="7" t="s">
        <v>7</v>
      </c>
      <c r="D6" s="7">
        <v>69.5</v>
      </c>
      <c r="E6" s="7">
        <v>62</v>
      </c>
      <c r="W6">
        <v>5</v>
      </c>
      <c r="X6" s="6">
        <v>45693</v>
      </c>
      <c r="Y6" s="7" t="s">
        <v>7</v>
      </c>
      <c r="Z6" s="7">
        <v>39.700000000000003</v>
      </c>
      <c r="AB6" t="s">
        <v>132</v>
      </c>
      <c r="AC6">
        <v>60</v>
      </c>
      <c r="AD6">
        <v>51</v>
      </c>
      <c r="AE6" s="19">
        <f t="shared" si="0"/>
        <v>13.144329896907218</v>
      </c>
    </row>
    <row r="7" spans="1:31" x14ac:dyDescent="0.2">
      <c r="A7">
        <v>6</v>
      </c>
      <c r="B7" s="1">
        <v>44909</v>
      </c>
      <c r="C7" t="s">
        <v>7</v>
      </c>
      <c r="D7">
        <v>70.5</v>
      </c>
      <c r="E7">
        <v>62.9</v>
      </c>
      <c r="W7">
        <v>6</v>
      </c>
      <c r="X7" s="1">
        <v>44953</v>
      </c>
      <c r="Y7" t="s">
        <v>7</v>
      </c>
      <c r="Z7">
        <v>39.799999999999997</v>
      </c>
      <c r="AB7" t="s">
        <v>133</v>
      </c>
      <c r="AC7">
        <v>70</v>
      </c>
      <c r="AD7">
        <v>116</v>
      </c>
      <c r="AE7" s="19">
        <f t="shared" si="0"/>
        <v>29.896907216494846</v>
      </c>
    </row>
    <row r="8" spans="1:31" x14ac:dyDescent="0.2">
      <c r="A8">
        <v>7</v>
      </c>
      <c r="B8" s="1">
        <v>44909</v>
      </c>
      <c r="C8" t="s">
        <v>7</v>
      </c>
      <c r="D8">
        <v>82.4</v>
      </c>
      <c r="E8">
        <v>73.599999999999994</v>
      </c>
      <c r="W8">
        <v>7</v>
      </c>
      <c r="X8" s="1">
        <v>45763</v>
      </c>
      <c r="Y8" t="s">
        <v>7</v>
      </c>
      <c r="Z8">
        <v>40.299999999999997</v>
      </c>
      <c r="AB8" t="s">
        <v>134</v>
      </c>
      <c r="AC8">
        <v>80</v>
      </c>
      <c r="AD8">
        <v>128</v>
      </c>
      <c r="AE8" s="19">
        <f t="shared" si="0"/>
        <v>32.989690721649481</v>
      </c>
    </row>
    <row r="9" spans="1:31" ht="17" thickBot="1" x14ac:dyDescent="0.25">
      <c r="A9">
        <v>8</v>
      </c>
      <c r="B9" s="1">
        <v>44909</v>
      </c>
      <c r="C9" t="s">
        <v>7</v>
      </c>
      <c r="D9">
        <v>61.2</v>
      </c>
      <c r="E9">
        <v>54.6</v>
      </c>
      <c r="W9">
        <v>8</v>
      </c>
      <c r="X9" s="1">
        <v>44944</v>
      </c>
      <c r="Y9" t="s">
        <v>7</v>
      </c>
      <c r="Z9">
        <v>40.6</v>
      </c>
      <c r="AB9" t="s">
        <v>135</v>
      </c>
      <c r="AC9">
        <v>90</v>
      </c>
      <c r="AD9">
        <v>48</v>
      </c>
      <c r="AE9" s="19">
        <f t="shared" si="0"/>
        <v>12.371134020618557</v>
      </c>
    </row>
    <row r="10" spans="1:31" x14ac:dyDescent="0.2">
      <c r="A10">
        <v>9</v>
      </c>
      <c r="B10" s="6">
        <v>44916</v>
      </c>
      <c r="C10" s="7" t="s">
        <v>7</v>
      </c>
      <c r="D10" s="7">
        <v>61.8</v>
      </c>
      <c r="E10" s="7">
        <v>55.2</v>
      </c>
      <c r="W10">
        <v>9</v>
      </c>
      <c r="X10" s="6">
        <v>45553</v>
      </c>
      <c r="Y10" s="7" t="s">
        <v>7</v>
      </c>
      <c r="Z10" s="7">
        <v>42.9</v>
      </c>
      <c r="AB10" t="s">
        <v>136</v>
      </c>
      <c r="AC10">
        <v>100</v>
      </c>
      <c r="AD10">
        <v>25</v>
      </c>
      <c r="AE10" s="19">
        <f t="shared" si="0"/>
        <v>6.4432989690721643</v>
      </c>
    </row>
    <row r="11" spans="1:31" x14ac:dyDescent="0.2">
      <c r="A11">
        <v>10</v>
      </c>
      <c r="B11" s="1">
        <v>44916</v>
      </c>
      <c r="C11" t="s">
        <v>7</v>
      </c>
      <c r="D11">
        <v>78.3</v>
      </c>
      <c r="E11">
        <v>69.900000000000006</v>
      </c>
      <c r="W11">
        <v>10</v>
      </c>
      <c r="X11" s="1">
        <v>45462</v>
      </c>
      <c r="Y11" t="s">
        <v>7</v>
      </c>
      <c r="Z11">
        <v>44</v>
      </c>
      <c r="AD11">
        <v>0</v>
      </c>
      <c r="AE11" s="20"/>
    </row>
    <row r="12" spans="1:31" x14ac:dyDescent="0.2">
      <c r="A12">
        <v>11</v>
      </c>
      <c r="B12" s="1">
        <v>44916</v>
      </c>
      <c r="C12" t="s">
        <v>7</v>
      </c>
      <c r="D12">
        <v>72.2</v>
      </c>
      <c r="E12">
        <v>64.5</v>
      </c>
      <c r="W12">
        <v>11</v>
      </c>
      <c r="X12" s="1">
        <v>45637</v>
      </c>
      <c r="Y12" t="s">
        <v>7</v>
      </c>
      <c r="Z12">
        <v>45.4</v>
      </c>
      <c r="AD12">
        <f>SUM(AD3:AD10)</f>
        <v>388</v>
      </c>
      <c r="AE12" s="20">
        <f>SUM(AE3:AE10)</f>
        <v>100</v>
      </c>
    </row>
    <row r="13" spans="1:31" x14ac:dyDescent="0.2">
      <c r="A13">
        <v>12</v>
      </c>
      <c r="B13" s="1">
        <v>44916</v>
      </c>
      <c r="C13" t="s">
        <v>7</v>
      </c>
      <c r="D13">
        <v>68.5</v>
      </c>
      <c r="E13">
        <v>61.2</v>
      </c>
      <c r="W13">
        <v>12</v>
      </c>
      <c r="X13" s="1">
        <v>44958</v>
      </c>
      <c r="Y13" t="s">
        <v>7</v>
      </c>
      <c r="Z13">
        <v>45.7</v>
      </c>
    </row>
    <row r="14" spans="1:31" ht="17" thickBot="1" x14ac:dyDescent="0.25">
      <c r="A14">
        <v>13</v>
      </c>
      <c r="B14" s="1">
        <v>44916</v>
      </c>
      <c r="C14" t="s">
        <v>7</v>
      </c>
      <c r="D14">
        <v>69.3</v>
      </c>
      <c r="E14">
        <v>61.9</v>
      </c>
      <c r="W14">
        <v>13</v>
      </c>
      <c r="X14" s="1">
        <v>45735</v>
      </c>
      <c r="Y14" t="s">
        <v>7</v>
      </c>
      <c r="Z14">
        <v>46</v>
      </c>
    </row>
    <row r="15" spans="1:31" x14ac:dyDescent="0.2">
      <c r="A15">
        <v>14</v>
      </c>
      <c r="B15" s="6">
        <v>44937</v>
      </c>
      <c r="C15" s="7" t="s">
        <v>7</v>
      </c>
      <c r="D15" s="7">
        <v>62.7</v>
      </c>
      <c r="E15" s="7">
        <v>56</v>
      </c>
      <c r="W15">
        <v>14</v>
      </c>
      <c r="X15" s="6">
        <v>45315</v>
      </c>
      <c r="Y15" s="7" t="s">
        <v>7</v>
      </c>
      <c r="Z15" s="7">
        <v>46.3</v>
      </c>
    </row>
    <row r="16" spans="1:31" x14ac:dyDescent="0.2">
      <c r="A16">
        <v>15</v>
      </c>
      <c r="B16" s="1">
        <v>44937</v>
      </c>
      <c r="C16" t="s">
        <v>7</v>
      </c>
      <c r="D16">
        <v>58.3</v>
      </c>
      <c r="E16">
        <v>52</v>
      </c>
      <c r="W16">
        <v>15</v>
      </c>
      <c r="X16" s="1">
        <v>45518</v>
      </c>
      <c r="Y16" t="s">
        <v>7</v>
      </c>
      <c r="Z16">
        <v>46.3</v>
      </c>
    </row>
    <row r="17" spans="1:26" x14ac:dyDescent="0.2">
      <c r="A17">
        <v>16</v>
      </c>
      <c r="B17" s="1">
        <v>44937</v>
      </c>
      <c r="C17" t="s">
        <v>7</v>
      </c>
      <c r="D17">
        <v>84.6</v>
      </c>
      <c r="E17">
        <v>75.5</v>
      </c>
      <c r="W17">
        <v>16</v>
      </c>
      <c r="X17" s="1">
        <v>45644</v>
      </c>
      <c r="Y17" t="s">
        <v>7</v>
      </c>
      <c r="Z17">
        <v>46.4</v>
      </c>
    </row>
    <row r="18" spans="1:26" x14ac:dyDescent="0.2">
      <c r="A18">
        <v>17</v>
      </c>
      <c r="B18" s="1">
        <v>44937</v>
      </c>
      <c r="C18" t="s">
        <v>7</v>
      </c>
      <c r="D18">
        <v>66.2</v>
      </c>
      <c r="E18">
        <v>59.1</v>
      </c>
      <c r="W18">
        <v>17</v>
      </c>
      <c r="X18" s="1">
        <v>45644</v>
      </c>
      <c r="Y18" t="s">
        <v>7</v>
      </c>
      <c r="Z18">
        <v>48.3</v>
      </c>
    </row>
    <row r="19" spans="1:26" x14ac:dyDescent="0.2">
      <c r="A19">
        <v>18</v>
      </c>
      <c r="B19" s="1">
        <v>44937</v>
      </c>
      <c r="C19" t="s">
        <v>7</v>
      </c>
      <c r="D19">
        <v>82.3</v>
      </c>
      <c r="E19">
        <v>73.5</v>
      </c>
      <c r="W19">
        <v>18</v>
      </c>
      <c r="X19" s="1">
        <v>45581</v>
      </c>
      <c r="Y19" t="s">
        <v>7</v>
      </c>
      <c r="Z19">
        <v>48.4</v>
      </c>
    </row>
    <row r="20" spans="1:26" x14ac:dyDescent="0.2">
      <c r="A20">
        <v>19</v>
      </c>
      <c r="B20" s="1">
        <v>44937</v>
      </c>
      <c r="C20" t="s">
        <v>7</v>
      </c>
      <c r="D20">
        <v>57.1</v>
      </c>
      <c r="E20">
        <v>51</v>
      </c>
      <c r="W20">
        <v>19</v>
      </c>
      <c r="X20" s="1">
        <v>45623</v>
      </c>
      <c r="Y20" t="s">
        <v>7</v>
      </c>
      <c r="Z20">
        <v>48.4</v>
      </c>
    </row>
    <row r="21" spans="1:26" ht="17" thickBot="1" x14ac:dyDescent="0.25">
      <c r="A21">
        <v>20</v>
      </c>
      <c r="B21" s="1">
        <v>44937</v>
      </c>
      <c r="C21" t="s">
        <v>7</v>
      </c>
      <c r="D21">
        <v>57.9</v>
      </c>
      <c r="E21">
        <v>51.7</v>
      </c>
      <c r="W21">
        <v>20</v>
      </c>
      <c r="X21" s="1">
        <v>45581</v>
      </c>
      <c r="Y21" t="s">
        <v>7</v>
      </c>
      <c r="Z21">
        <v>49.6</v>
      </c>
    </row>
    <row r="22" spans="1:26" x14ac:dyDescent="0.2">
      <c r="A22">
        <v>21</v>
      </c>
      <c r="B22" s="6">
        <v>44944</v>
      </c>
      <c r="C22" s="7" t="s">
        <v>7</v>
      </c>
      <c r="D22" s="7">
        <v>70.5</v>
      </c>
      <c r="E22" s="7">
        <v>62.9</v>
      </c>
      <c r="W22">
        <v>21</v>
      </c>
      <c r="X22" s="6">
        <v>45609</v>
      </c>
      <c r="Y22" s="7" t="s">
        <v>7</v>
      </c>
      <c r="Z22" s="7">
        <v>50.5</v>
      </c>
    </row>
    <row r="23" spans="1:26" x14ac:dyDescent="0.2">
      <c r="A23">
        <v>22</v>
      </c>
      <c r="B23" s="1">
        <v>44944</v>
      </c>
      <c r="C23" t="s">
        <v>7</v>
      </c>
      <c r="D23">
        <v>40.6</v>
      </c>
      <c r="E23">
        <v>36.200000000000003</v>
      </c>
      <c r="W23">
        <v>22</v>
      </c>
      <c r="X23" s="1">
        <v>45644</v>
      </c>
      <c r="Y23" t="s">
        <v>7</v>
      </c>
      <c r="Z23">
        <v>52.1</v>
      </c>
    </row>
    <row r="24" spans="1:26" ht="17" thickBot="1" x14ac:dyDescent="0.25">
      <c r="A24">
        <v>23</v>
      </c>
      <c r="B24" s="1">
        <v>44944</v>
      </c>
      <c r="C24" t="s">
        <v>7</v>
      </c>
      <c r="D24">
        <v>81.7</v>
      </c>
      <c r="E24">
        <v>72.900000000000006</v>
      </c>
      <c r="W24">
        <v>23</v>
      </c>
      <c r="X24" s="1">
        <v>45392</v>
      </c>
      <c r="Y24" t="s">
        <v>7</v>
      </c>
      <c r="Z24">
        <v>52.2</v>
      </c>
    </row>
    <row r="25" spans="1:26" x14ac:dyDescent="0.2">
      <c r="A25">
        <v>24</v>
      </c>
      <c r="B25" s="6">
        <v>44953</v>
      </c>
      <c r="C25" s="7" t="s">
        <v>7</v>
      </c>
      <c r="D25" s="7">
        <v>58.1</v>
      </c>
      <c r="E25" s="7">
        <v>51.9</v>
      </c>
      <c r="W25">
        <v>24</v>
      </c>
      <c r="X25" s="6">
        <v>45567</v>
      </c>
      <c r="Y25" s="7" t="s">
        <v>7</v>
      </c>
      <c r="Z25" s="7">
        <v>52.3</v>
      </c>
    </row>
    <row r="26" spans="1:26" x14ac:dyDescent="0.2">
      <c r="A26">
        <v>25</v>
      </c>
      <c r="B26" s="1">
        <v>44953</v>
      </c>
      <c r="C26" t="s">
        <v>7</v>
      </c>
      <c r="D26">
        <v>65.400000000000006</v>
      </c>
      <c r="E26">
        <v>58.4</v>
      </c>
      <c r="W26">
        <v>25</v>
      </c>
      <c r="X26" s="1">
        <v>45518</v>
      </c>
      <c r="Y26" t="s">
        <v>7</v>
      </c>
      <c r="Z26">
        <v>52.4</v>
      </c>
    </row>
    <row r="27" spans="1:26" x14ac:dyDescent="0.2">
      <c r="A27">
        <v>26</v>
      </c>
      <c r="B27" s="1">
        <v>44953</v>
      </c>
      <c r="C27" t="s">
        <v>7</v>
      </c>
      <c r="D27">
        <v>39.799999999999997</v>
      </c>
      <c r="E27">
        <v>35.5</v>
      </c>
      <c r="W27">
        <v>26</v>
      </c>
      <c r="X27" s="1">
        <v>45735</v>
      </c>
      <c r="Y27" t="s">
        <v>7</v>
      </c>
      <c r="Z27">
        <v>52.5</v>
      </c>
    </row>
    <row r="28" spans="1:26" x14ac:dyDescent="0.2">
      <c r="A28">
        <v>27</v>
      </c>
      <c r="B28" s="1">
        <v>44953</v>
      </c>
      <c r="C28" t="s">
        <v>7</v>
      </c>
      <c r="D28">
        <v>66.3</v>
      </c>
      <c r="E28">
        <v>59.2</v>
      </c>
      <c r="H28" t="s">
        <v>8</v>
      </c>
      <c r="I28" s="20">
        <f>AVERAGE(D2:D500)</f>
        <v>70.25386597938143</v>
      </c>
      <c r="W28">
        <v>27</v>
      </c>
      <c r="X28" s="1">
        <v>45210</v>
      </c>
      <c r="Y28" t="s">
        <v>7</v>
      </c>
      <c r="Z28">
        <v>53</v>
      </c>
    </row>
    <row r="29" spans="1:26" ht="17" thickBot="1" x14ac:dyDescent="0.25">
      <c r="A29">
        <v>28</v>
      </c>
      <c r="B29" s="12">
        <v>44953</v>
      </c>
      <c r="C29" s="13" t="s">
        <v>7</v>
      </c>
      <c r="D29" s="13">
        <v>68</v>
      </c>
      <c r="E29" s="13">
        <v>60.7</v>
      </c>
      <c r="H29" t="s">
        <v>9</v>
      </c>
      <c r="I29">
        <f>MAX(D2:D500)</f>
        <v>98.1</v>
      </c>
      <c r="W29">
        <v>28</v>
      </c>
      <c r="X29" s="12">
        <v>45567</v>
      </c>
      <c r="Y29" s="13" t="s">
        <v>7</v>
      </c>
      <c r="Z29" s="13">
        <v>53.4</v>
      </c>
    </row>
    <row r="30" spans="1:26" x14ac:dyDescent="0.2">
      <c r="A30">
        <v>29</v>
      </c>
      <c r="B30" s="6">
        <v>44958</v>
      </c>
      <c r="C30" s="7" t="s">
        <v>7</v>
      </c>
      <c r="D30" s="7">
        <v>73.400000000000006</v>
      </c>
      <c r="E30" s="7">
        <v>65.5</v>
      </c>
      <c r="H30" t="s">
        <v>10</v>
      </c>
      <c r="I30">
        <f>MIN(D2:D500)</f>
        <v>26.3</v>
      </c>
      <c r="W30">
        <v>29</v>
      </c>
      <c r="X30" s="6">
        <v>45763</v>
      </c>
      <c r="Y30" s="7" t="s">
        <v>7</v>
      </c>
      <c r="Z30" s="7">
        <v>53.4</v>
      </c>
    </row>
    <row r="31" spans="1:26" x14ac:dyDescent="0.2">
      <c r="A31">
        <v>30</v>
      </c>
      <c r="B31" s="1">
        <v>44958</v>
      </c>
      <c r="C31" t="s">
        <v>7</v>
      </c>
      <c r="D31">
        <v>68.7</v>
      </c>
      <c r="E31">
        <v>61.3</v>
      </c>
      <c r="W31">
        <v>30</v>
      </c>
      <c r="X31" s="1">
        <v>45210</v>
      </c>
      <c r="Y31" t="s">
        <v>7</v>
      </c>
      <c r="Z31">
        <v>53.5</v>
      </c>
    </row>
    <row r="32" spans="1:26" x14ac:dyDescent="0.2">
      <c r="A32">
        <v>31</v>
      </c>
      <c r="B32" s="1">
        <v>44958</v>
      </c>
      <c r="C32" t="s">
        <v>7</v>
      </c>
      <c r="D32">
        <v>71.599999999999994</v>
      </c>
      <c r="E32">
        <v>63.9</v>
      </c>
      <c r="W32">
        <v>31</v>
      </c>
      <c r="X32" s="1">
        <v>45735</v>
      </c>
      <c r="Y32" t="s">
        <v>7</v>
      </c>
      <c r="Z32">
        <v>53.5</v>
      </c>
    </row>
    <row r="33" spans="1:26" x14ac:dyDescent="0.2">
      <c r="A33">
        <v>32</v>
      </c>
      <c r="B33" s="1">
        <v>44958</v>
      </c>
      <c r="C33" t="s">
        <v>7</v>
      </c>
      <c r="D33">
        <v>67.5</v>
      </c>
      <c r="E33">
        <v>60.3</v>
      </c>
      <c r="I33" t="s">
        <v>31</v>
      </c>
      <c r="W33">
        <v>32</v>
      </c>
      <c r="X33" s="1">
        <v>45763</v>
      </c>
      <c r="Y33" t="s">
        <v>7</v>
      </c>
      <c r="Z33">
        <v>53.5</v>
      </c>
    </row>
    <row r="34" spans="1:26" x14ac:dyDescent="0.2">
      <c r="A34">
        <v>33</v>
      </c>
      <c r="B34" s="1">
        <v>44958</v>
      </c>
      <c r="C34" t="s">
        <v>7</v>
      </c>
      <c r="D34">
        <v>69.3</v>
      </c>
      <c r="E34">
        <v>61.9</v>
      </c>
      <c r="H34" t="s">
        <v>27</v>
      </c>
      <c r="I34">
        <f>I30</f>
        <v>26.3</v>
      </c>
      <c r="W34">
        <v>33</v>
      </c>
      <c r="X34" s="35">
        <v>45903</v>
      </c>
      <c r="Y34" s="36" t="s">
        <v>7</v>
      </c>
      <c r="Z34" s="36">
        <v>53.7</v>
      </c>
    </row>
    <row r="35" spans="1:26" x14ac:dyDescent="0.2">
      <c r="A35">
        <v>34</v>
      </c>
      <c r="B35" s="1">
        <v>44958</v>
      </c>
      <c r="C35" t="s">
        <v>7</v>
      </c>
      <c r="D35">
        <v>45.7</v>
      </c>
      <c r="E35">
        <v>40.799999999999997</v>
      </c>
      <c r="H35" t="s">
        <v>28</v>
      </c>
      <c r="I35">
        <f>_xlfn.QUARTILE.INC(D2:D500,1)</f>
        <v>63.175000000000004</v>
      </c>
      <c r="W35">
        <v>34</v>
      </c>
      <c r="X35" s="1">
        <v>46113</v>
      </c>
      <c r="Y35" t="s">
        <v>7</v>
      </c>
      <c r="Z35">
        <v>54.2</v>
      </c>
    </row>
    <row r="36" spans="1:26" x14ac:dyDescent="0.2">
      <c r="A36">
        <v>35</v>
      </c>
      <c r="B36" s="1">
        <v>44958</v>
      </c>
      <c r="C36" t="s">
        <v>7</v>
      </c>
      <c r="D36">
        <v>74.5</v>
      </c>
      <c r="E36">
        <v>66.5</v>
      </c>
      <c r="H36" t="s">
        <v>29</v>
      </c>
      <c r="I36">
        <f>_xlfn.QUARTILE.INC(D2:D500,2)</f>
        <v>70.400000000000006</v>
      </c>
      <c r="W36">
        <v>35</v>
      </c>
      <c r="X36" s="1">
        <v>45735</v>
      </c>
      <c r="Y36" t="s">
        <v>7</v>
      </c>
      <c r="Z36">
        <v>54.6</v>
      </c>
    </row>
    <row r="37" spans="1:26" ht="17" thickBot="1" x14ac:dyDescent="0.25">
      <c r="A37">
        <v>36</v>
      </c>
      <c r="B37" s="12">
        <v>44958</v>
      </c>
      <c r="C37" s="13" t="s">
        <v>7</v>
      </c>
      <c r="D37" s="13">
        <v>71</v>
      </c>
      <c r="E37" s="13">
        <v>63.4</v>
      </c>
      <c r="H37" t="s">
        <v>30</v>
      </c>
      <c r="I37">
        <f>_xlfn.QUARTILE.INC(D2:D500,3)</f>
        <v>77.2</v>
      </c>
      <c r="W37">
        <v>36</v>
      </c>
      <c r="X37" s="12">
        <v>45581</v>
      </c>
      <c r="Y37" s="13" t="s">
        <v>7</v>
      </c>
      <c r="Z37" s="13">
        <v>55.1</v>
      </c>
    </row>
    <row r="38" spans="1:26" x14ac:dyDescent="0.2">
      <c r="A38">
        <v>37</v>
      </c>
      <c r="B38" s="6">
        <v>44979</v>
      </c>
      <c r="C38" s="7" t="s">
        <v>7</v>
      </c>
      <c r="D38" s="7">
        <v>62.9</v>
      </c>
      <c r="E38" s="7">
        <v>56.2</v>
      </c>
      <c r="H38" t="s">
        <v>9</v>
      </c>
      <c r="I38">
        <f>I29</f>
        <v>98.1</v>
      </c>
      <c r="W38">
        <v>37</v>
      </c>
      <c r="X38" s="6">
        <v>45637</v>
      </c>
      <c r="Y38" s="7" t="s">
        <v>7</v>
      </c>
      <c r="Z38" s="7">
        <v>55.1</v>
      </c>
    </row>
    <row r="39" spans="1:26" x14ac:dyDescent="0.2">
      <c r="A39">
        <v>38</v>
      </c>
      <c r="B39" s="1">
        <v>44979</v>
      </c>
      <c r="C39" t="s">
        <v>7</v>
      </c>
      <c r="D39">
        <v>71.8</v>
      </c>
      <c r="E39">
        <v>64.099999999999994</v>
      </c>
      <c r="W39">
        <v>38</v>
      </c>
      <c r="X39" s="1">
        <v>45112</v>
      </c>
      <c r="Y39" t="s">
        <v>7</v>
      </c>
      <c r="Z39">
        <v>55.4</v>
      </c>
    </row>
    <row r="40" spans="1:26" x14ac:dyDescent="0.2">
      <c r="A40">
        <v>39</v>
      </c>
      <c r="B40" s="1">
        <v>44979</v>
      </c>
      <c r="C40" t="s">
        <v>7</v>
      </c>
      <c r="D40">
        <v>60.2</v>
      </c>
      <c r="E40">
        <v>53.7</v>
      </c>
      <c r="I40" t="s">
        <v>31</v>
      </c>
      <c r="W40">
        <v>39</v>
      </c>
      <c r="X40" s="1">
        <v>45679</v>
      </c>
      <c r="Y40" t="s">
        <v>7</v>
      </c>
      <c r="Z40">
        <v>55.4</v>
      </c>
    </row>
    <row r="41" spans="1:26" x14ac:dyDescent="0.2">
      <c r="A41">
        <v>40</v>
      </c>
      <c r="B41" s="1">
        <v>44979</v>
      </c>
      <c r="C41" t="s">
        <v>7</v>
      </c>
      <c r="D41">
        <v>71.7</v>
      </c>
      <c r="E41">
        <v>64</v>
      </c>
      <c r="H41" t="s">
        <v>10</v>
      </c>
      <c r="I41">
        <f>I34</f>
        <v>26.3</v>
      </c>
      <c r="W41">
        <v>40</v>
      </c>
      <c r="X41" s="1">
        <v>45847</v>
      </c>
      <c r="Y41" t="s">
        <v>7</v>
      </c>
      <c r="Z41">
        <v>55.5</v>
      </c>
    </row>
    <row r="42" spans="1:26" x14ac:dyDescent="0.2">
      <c r="A42">
        <v>41</v>
      </c>
      <c r="B42" s="1">
        <v>44979</v>
      </c>
      <c r="C42" t="s">
        <v>7</v>
      </c>
      <c r="D42">
        <v>70.099999999999994</v>
      </c>
      <c r="E42">
        <v>62.6</v>
      </c>
      <c r="H42" t="s">
        <v>33</v>
      </c>
      <c r="I42">
        <f>I35-I34</f>
        <v>36.875</v>
      </c>
      <c r="W42">
        <v>41</v>
      </c>
      <c r="X42" s="1">
        <v>45518</v>
      </c>
      <c r="Y42" t="s">
        <v>7</v>
      </c>
      <c r="Z42">
        <v>55.6</v>
      </c>
    </row>
    <row r="43" spans="1:26" ht="17" thickBot="1" x14ac:dyDescent="0.25">
      <c r="A43">
        <v>42</v>
      </c>
      <c r="B43" s="12">
        <v>44979</v>
      </c>
      <c r="C43" s="13" t="s">
        <v>7</v>
      </c>
      <c r="D43" s="13">
        <v>61.3</v>
      </c>
      <c r="E43" s="13">
        <v>54.7</v>
      </c>
      <c r="H43" t="s">
        <v>34</v>
      </c>
      <c r="I43">
        <f>I36-I35</f>
        <v>7.2250000000000014</v>
      </c>
      <c r="W43">
        <v>42</v>
      </c>
      <c r="X43" s="12">
        <v>45637</v>
      </c>
      <c r="Y43" s="13" t="s">
        <v>7</v>
      </c>
      <c r="Z43" s="13">
        <v>55.7</v>
      </c>
    </row>
    <row r="44" spans="1:26" x14ac:dyDescent="0.2">
      <c r="A44">
        <v>43</v>
      </c>
      <c r="B44" s="6">
        <v>45014</v>
      </c>
      <c r="C44" s="7" t="s">
        <v>7</v>
      </c>
      <c r="D44" s="7">
        <v>78.099999999999994</v>
      </c>
      <c r="E44" s="7">
        <v>69.7</v>
      </c>
      <c r="H44" t="s">
        <v>35</v>
      </c>
      <c r="I44">
        <f>I37-I36</f>
        <v>6.7999999999999972</v>
      </c>
      <c r="W44">
        <v>43</v>
      </c>
      <c r="X44" s="6">
        <v>45644</v>
      </c>
      <c r="Y44" s="7" t="s">
        <v>7</v>
      </c>
      <c r="Z44" s="7">
        <v>55.8</v>
      </c>
    </row>
    <row r="45" spans="1:26" x14ac:dyDescent="0.2">
      <c r="A45">
        <v>44</v>
      </c>
      <c r="B45" s="1">
        <v>45014</v>
      </c>
      <c r="C45" t="s">
        <v>7</v>
      </c>
      <c r="D45">
        <v>77.7</v>
      </c>
      <c r="E45">
        <v>69.400000000000006</v>
      </c>
      <c r="H45" t="s">
        <v>36</v>
      </c>
      <c r="I45">
        <f>I38-I37</f>
        <v>20.899999999999991</v>
      </c>
      <c r="W45">
        <v>44</v>
      </c>
      <c r="X45" s="1">
        <v>45637</v>
      </c>
      <c r="Y45" t="s">
        <v>7</v>
      </c>
      <c r="Z45">
        <v>55.9</v>
      </c>
    </row>
    <row r="46" spans="1:26" x14ac:dyDescent="0.2">
      <c r="A46">
        <v>45</v>
      </c>
      <c r="B46" s="1">
        <v>45014</v>
      </c>
      <c r="C46" t="s">
        <v>7</v>
      </c>
      <c r="D46">
        <v>80.3</v>
      </c>
      <c r="E46">
        <v>71.7</v>
      </c>
      <c r="W46">
        <v>45</v>
      </c>
      <c r="X46" s="1">
        <v>45553</v>
      </c>
      <c r="Y46" t="s">
        <v>7</v>
      </c>
      <c r="Z46">
        <v>56</v>
      </c>
    </row>
    <row r="47" spans="1:26" x14ac:dyDescent="0.2">
      <c r="A47">
        <v>46</v>
      </c>
      <c r="B47" s="1">
        <v>45014</v>
      </c>
      <c r="C47" t="s">
        <v>7</v>
      </c>
      <c r="D47">
        <v>73.5</v>
      </c>
      <c r="E47">
        <v>65.599999999999994</v>
      </c>
      <c r="H47" t="s">
        <v>4</v>
      </c>
      <c r="I47" t="s">
        <v>142</v>
      </c>
      <c r="J47" t="s">
        <v>229</v>
      </c>
      <c r="W47">
        <v>46</v>
      </c>
      <c r="X47" s="1">
        <v>45518</v>
      </c>
      <c r="Y47" t="s">
        <v>7</v>
      </c>
      <c r="Z47">
        <v>56.1</v>
      </c>
    </row>
    <row r="48" spans="1:26" ht="17" thickBot="1" x14ac:dyDescent="0.25">
      <c r="A48">
        <v>47</v>
      </c>
      <c r="B48" s="12">
        <v>45014</v>
      </c>
      <c r="C48" s="13" t="s">
        <v>7</v>
      </c>
      <c r="D48" s="13">
        <v>81.599999999999994</v>
      </c>
      <c r="E48" s="13">
        <v>72.8</v>
      </c>
      <c r="H48" s="1">
        <v>44872</v>
      </c>
      <c r="I48" s="20">
        <f>AVERAGE(D2:D5)</f>
        <v>72.25</v>
      </c>
      <c r="J48" s="26">
        <v>4</v>
      </c>
      <c r="W48">
        <v>47</v>
      </c>
      <c r="X48" s="12">
        <v>45805</v>
      </c>
      <c r="Y48" s="13" t="s">
        <v>7</v>
      </c>
      <c r="Z48" s="13">
        <v>56.1</v>
      </c>
    </row>
    <row r="49" spans="1:26" x14ac:dyDescent="0.2">
      <c r="A49">
        <v>48</v>
      </c>
      <c r="B49" s="1">
        <v>45042</v>
      </c>
      <c r="C49" t="s">
        <v>7</v>
      </c>
      <c r="D49">
        <v>84</v>
      </c>
      <c r="E49">
        <v>75</v>
      </c>
      <c r="H49" s="1">
        <v>44909</v>
      </c>
      <c r="I49" s="20">
        <f>AVERAGE(D6:D9)</f>
        <v>70.900000000000006</v>
      </c>
      <c r="J49" s="26">
        <v>4</v>
      </c>
      <c r="W49">
        <v>48</v>
      </c>
      <c r="X49" s="1">
        <v>45777</v>
      </c>
      <c r="Y49" t="s">
        <v>7</v>
      </c>
      <c r="Z49">
        <v>56.2</v>
      </c>
    </row>
    <row r="50" spans="1:26" x14ac:dyDescent="0.2">
      <c r="A50">
        <v>49</v>
      </c>
      <c r="B50" s="1">
        <v>45042</v>
      </c>
      <c r="C50" t="s">
        <v>7</v>
      </c>
      <c r="D50">
        <v>98.1</v>
      </c>
      <c r="E50">
        <v>87.6</v>
      </c>
      <c r="H50" s="1">
        <v>44916</v>
      </c>
      <c r="I50" s="20">
        <f>AVERAGE(D10:D14)</f>
        <v>70.02000000000001</v>
      </c>
      <c r="J50" s="26">
        <v>5</v>
      </c>
      <c r="W50">
        <v>49</v>
      </c>
      <c r="X50" s="1">
        <v>45665</v>
      </c>
      <c r="Y50" t="s">
        <v>7</v>
      </c>
      <c r="Z50">
        <v>56.4</v>
      </c>
    </row>
    <row r="51" spans="1:26" ht="17" thickBot="1" x14ac:dyDescent="0.25">
      <c r="A51">
        <v>50</v>
      </c>
      <c r="B51" s="1">
        <v>45042</v>
      </c>
      <c r="C51" t="s">
        <v>7</v>
      </c>
      <c r="D51">
        <v>79.2</v>
      </c>
      <c r="E51">
        <v>70.7</v>
      </c>
      <c r="H51" s="12">
        <v>44937</v>
      </c>
      <c r="I51" s="20">
        <f>AVERAGE(D15:D21)</f>
        <v>67.01428571428572</v>
      </c>
      <c r="J51" s="26">
        <v>7</v>
      </c>
      <c r="W51">
        <v>50</v>
      </c>
      <c r="X51" s="1">
        <v>45483</v>
      </c>
      <c r="Y51" t="s">
        <v>7</v>
      </c>
      <c r="Z51">
        <v>56.5</v>
      </c>
    </row>
    <row r="52" spans="1:26" x14ac:dyDescent="0.2">
      <c r="A52">
        <v>51</v>
      </c>
      <c r="B52" s="1">
        <v>45042</v>
      </c>
      <c r="C52" t="s">
        <v>7</v>
      </c>
      <c r="D52">
        <v>85.7</v>
      </c>
      <c r="E52">
        <v>76.5</v>
      </c>
      <c r="H52" s="6">
        <v>44944</v>
      </c>
      <c r="I52" s="20">
        <f>AVERAGE(D22:D24)</f>
        <v>64.266666666666666</v>
      </c>
      <c r="J52" s="26">
        <v>3</v>
      </c>
      <c r="W52">
        <v>51</v>
      </c>
      <c r="X52" s="1">
        <v>45567</v>
      </c>
      <c r="Y52" t="s">
        <v>7</v>
      </c>
      <c r="Z52">
        <v>56.6</v>
      </c>
    </row>
    <row r="53" spans="1:26" x14ac:dyDescent="0.2">
      <c r="A53">
        <v>52</v>
      </c>
      <c r="B53" s="1">
        <v>45042</v>
      </c>
      <c r="C53" t="s">
        <v>7</v>
      </c>
      <c r="D53">
        <v>78.900000000000006</v>
      </c>
      <c r="E53">
        <v>70.400000000000006</v>
      </c>
      <c r="H53" s="1">
        <v>44953</v>
      </c>
      <c r="I53" s="20">
        <f>AVERAGE(D25:D29)</f>
        <v>59.52</v>
      </c>
      <c r="J53" s="26">
        <v>5</v>
      </c>
      <c r="W53">
        <v>52</v>
      </c>
      <c r="X53" s="1">
        <v>46043</v>
      </c>
      <c r="Y53" t="s">
        <v>7</v>
      </c>
      <c r="Z53">
        <v>56.7</v>
      </c>
    </row>
    <row r="54" spans="1:26" x14ac:dyDescent="0.2">
      <c r="A54">
        <v>53</v>
      </c>
      <c r="B54" s="1">
        <v>45042</v>
      </c>
      <c r="C54" t="s">
        <v>7</v>
      </c>
      <c r="D54">
        <v>90.1</v>
      </c>
      <c r="E54">
        <v>80.400000000000006</v>
      </c>
      <c r="H54" s="1">
        <v>44958</v>
      </c>
      <c r="I54" s="20">
        <f>AVERAGE(D30:D37)</f>
        <v>67.712500000000006</v>
      </c>
      <c r="J54" s="26">
        <v>8</v>
      </c>
      <c r="W54">
        <v>53</v>
      </c>
      <c r="X54" s="1">
        <v>44937</v>
      </c>
      <c r="Y54" t="s">
        <v>7</v>
      </c>
      <c r="Z54">
        <v>57.1</v>
      </c>
    </row>
    <row r="55" spans="1:26" ht="17" thickBot="1" x14ac:dyDescent="0.25">
      <c r="A55">
        <v>54</v>
      </c>
      <c r="B55" s="1">
        <v>45042</v>
      </c>
      <c r="C55" t="s">
        <v>7</v>
      </c>
      <c r="D55">
        <v>79.8</v>
      </c>
      <c r="E55">
        <v>71.2</v>
      </c>
      <c r="H55" s="1">
        <v>44979</v>
      </c>
      <c r="I55" s="20">
        <f>AVERAGE(D38:D43)</f>
        <v>66.333333333333329</v>
      </c>
      <c r="J55" s="26">
        <v>6</v>
      </c>
      <c r="W55">
        <v>54</v>
      </c>
      <c r="X55" s="1">
        <v>46113</v>
      </c>
      <c r="Y55" t="s">
        <v>7</v>
      </c>
      <c r="Z55">
        <v>57.1</v>
      </c>
    </row>
    <row r="56" spans="1:26" ht="17" thickBot="1" x14ac:dyDescent="0.25">
      <c r="A56">
        <v>55</v>
      </c>
      <c r="B56" s="1">
        <v>45042</v>
      </c>
      <c r="C56" t="s">
        <v>7</v>
      </c>
      <c r="D56">
        <v>73.3</v>
      </c>
      <c r="E56">
        <v>65.400000000000006</v>
      </c>
      <c r="H56" s="6">
        <v>45014</v>
      </c>
      <c r="I56" s="20">
        <f>AVERAGE(D44:D48)</f>
        <v>78.240000000000009</v>
      </c>
      <c r="J56" s="26">
        <v>5</v>
      </c>
      <c r="W56">
        <v>55</v>
      </c>
      <c r="X56" s="1">
        <v>46099</v>
      </c>
      <c r="Y56" t="s">
        <v>593</v>
      </c>
      <c r="Z56">
        <v>57.4</v>
      </c>
    </row>
    <row r="57" spans="1:26" x14ac:dyDescent="0.2">
      <c r="A57">
        <v>56</v>
      </c>
      <c r="B57" s="6">
        <v>45070</v>
      </c>
      <c r="C57" s="7" t="s">
        <v>7</v>
      </c>
      <c r="D57" s="7">
        <v>80</v>
      </c>
      <c r="E57" s="7">
        <v>71.400000000000006</v>
      </c>
      <c r="H57" s="1">
        <v>45042</v>
      </c>
      <c r="I57" s="20">
        <f>AVERAGE(D49:D56)</f>
        <v>83.637499999999989</v>
      </c>
      <c r="J57" s="26">
        <v>8</v>
      </c>
      <c r="W57">
        <v>56</v>
      </c>
      <c r="X57" s="6">
        <v>45245</v>
      </c>
      <c r="Y57" s="7" t="s">
        <v>7</v>
      </c>
      <c r="Z57" s="7">
        <v>57.7</v>
      </c>
    </row>
    <row r="58" spans="1:26" x14ac:dyDescent="0.2">
      <c r="A58">
        <v>57</v>
      </c>
      <c r="B58" s="1">
        <v>45070</v>
      </c>
      <c r="C58" t="s">
        <v>7</v>
      </c>
      <c r="D58">
        <v>90</v>
      </c>
      <c r="E58">
        <v>80.3</v>
      </c>
      <c r="H58" s="1">
        <v>45070</v>
      </c>
      <c r="I58" s="20">
        <f>AVERAGE(D57:D66)</f>
        <v>82.890000000000015</v>
      </c>
      <c r="J58" s="26">
        <v>10</v>
      </c>
      <c r="W58">
        <v>57</v>
      </c>
      <c r="X58" s="1">
        <v>45791</v>
      </c>
      <c r="Y58" t="s">
        <v>7</v>
      </c>
      <c r="Z58">
        <v>57.8</v>
      </c>
    </row>
    <row r="59" spans="1:26" x14ac:dyDescent="0.2">
      <c r="A59">
        <v>58</v>
      </c>
      <c r="B59" s="1">
        <v>45070</v>
      </c>
      <c r="C59" t="s">
        <v>7</v>
      </c>
      <c r="D59">
        <v>91.3</v>
      </c>
      <c r="E59">
        <v>81.5</v>
      </c>
      <c r="H59" s="1">
        <v>45112</v>
      </c>
      <c r="I59" s="20">
        <f>AVERAGE(D67:D70)</f>
        <v>65.174999999999997</v>
      </c>
      <c r="J59" s="26">
        <v>4</v>
      </c>
      <c r="W59">
        <v>58</v>
      </c>
      <c r="X59" s="1">
        <v>44937</v>
      </c>
      <c r="Y59" t="s">
        <v>7</v>
      </c>
      <c r="Z59">
        <v>57.9</v>
      </c>
    </row>
    <row r="60" spans="1:26" ht="17" thickBot="1" x14ac:dyDescent="0.25">
      <c r="A60">
        <v>59</v>
      </c>
      <c r="B60" s="1">
        <v>45070</v>
      </c>
      <c r="C60" t="s">
        <v>7</v>
      </c>
      <c r="D60">
        <v>91.9</v>
      </c>
      <c r="E60">
        <v>82</v>
      </c>
      <c r="H60" s="1">
        <v>45161</v>
      </c>
      <c r="I60" s="20">
        <f>AVERAGE(D71:D75)</f>
        <v>82.92</v>
      </c>
      <c r="J60" s="26">
        <v>5</v>
      </c>
      <c r="W60">
        <v>59</v>
      </c>
      <c r="X60" s="1">
        <v>44953</v>
      </c>
      <c r="Y60" t="s">
        <v>7</v>
      </c>
      <c r="Z60">
        <v>58.1</v>
      </c>
    </row>
    <row r="61" spans="1:26" x14ac:dyDescent="0.2">
      <c r="A61">
        <v>60</v>
      </c>
      <c r="B61" s="1">
        <v>45070</v>
      </c>
      <c r="C61" t="s">
        <v>7</v>
      </c>
      <c r="D61">
        <v>89.9</v>
      </c>
      <c r="E61">
        <v>80.3</v>
      </c>
      <c r="H61" s="6">
        <v>45210</v>
      </c>
      <c r="I61" s="20">
        <f>AVERAGE(D76:D87)</f>
        <v>64.641666666666666</v>
      </c>
      <c r="J61" s="26">
        <v>12</v>
      </c>
      <c r="W61">
        <v>60</v>
      </c>
      <c r="X61" s="1">
        <v>44872</v>
      </c>
      <c r="Y61" t="s">
        <v>7</v>
      </c>
      <c r="Z61">
        <v>58.3</v>
      </c>
    </row>
    <row r="62" spans="1:26" x14ac:dyDescent="0.2">
      <c r="A62">
        <v>61</v>
      </c>
      <c r="B62" s="1">
        <v>45070</v>
      </c>
      <c r="C62" t="s">
        <v>7</v>
      </c>
      <c r="D62">
        <v>76.099999999999994</v>
      </c>
      <c r="E62">
        <v>67.900000000000006</v>
      </c>
      <c r="H62" s="1">
        <v>45245</v>
      </c>
      <c r="I62" s="20">
        <f>AVERAGE(D88:D93)</f>
        <v>65.783333333333317</v>
      </c>
      <c r="J62" s="26">
        <v>6</v>
      </c>
      <c r="W62">
        <v>61</v>
      </c>
      <c r="X62" s="1">
        <v>44937</v>
      </c>
      <c r="Y62" t="s">
        <v>7</v>
      </c>
      <c r="Z62">
        <v>58.3</v>
      </c>
    </row>
    <row r="63" spans="1:26" x14ac:dyDescent="0.2">
      <c r="A63">
        <v>62</v>
      </c>
      <c r="B63" s="1">
        <v>45070</v>
      </c>
      <c r="C63" t="s">
        <v>7</v>
      </c>
      <c r="D63">
        <v>82.4</v>
      </c>
      <c r="E63">
        <v>73.599999999999994</v>
      </c>
      <c r="H63" s="1">
        <v>45315</v>
      </c>
      <c r="I63" s="20">
        <f>AVERAGE(D94:D105)</f>
        <v>69.225000000000009</v>
      </c>
      <c r="J63" s="26">
        <v>12</v>
      </c>
      <c r="W63">
        <v>62</v>
      </c>
      <c r="X63" s="1">
        <v>45609</v>
      </c>
      <c r="Y63" t="s">
        <v>7</v>
      </c>
      <c r="Z63">
        <v>58.4</v>
      </c>
    </row>
    <row r="64" spans="1:26" x14ac:dyDescent="0.2">
      <c r="A64">
        <v>63</v>
      </c>
      <c r="B64" s="1">
        <v>45070</v>
      </c>
      <c r="C64" t="s">
        <v>7</v>
      </c>
      <c r="D64">
        <v>86.1</v>
      </c>
      <c r="E64">
        <v>76.900000000000006</v>
      </c>
      <c r="H64" s="1">
        <v>45352</v>
      </c>
      <c r="I64" s="20">
        <f>AVERAGE(D106:D113)</f>
        <v>73.112500000000011</v>
      </c>
      <c r="J64" s="26">
        <v>8</v>
      </c>
      <c r="W64">
        <v>63</v>
      </c>
      <c r="X64" s="1">
        <v>45392</v>
      </c>
      <c r="Y64" t="s">
        <v>7</v>
      </c>
      <c r="Z64">
        <v>58.7</v>
      </c>
    </row>
    <row r="65" spans="1:26" x14ac:dyDescent="0.2">
      <c r="A65">
        <v>64</v>
      </c>
      <c r="B65" s="1">
        <v>45070</v>
      </c>
      <c r="C65" t="s">
        <v>7</v>
      </c>
      <c r="D65">
        <v>64.2</v>
      </c>
      <c r="E65">
        <v>57.3</v>
      </c>
      <c r="H65" s="1">
        <v>45392</v>
      </c>
      <c r="I65" s="20">
        <f>AVERAGE(D114:D118)</f>
        <v>70.44</v>
      </c>
      <c r="J65" s="26">
        <v>5</v>
      </c>
      <c r="W65">
        <v>64</v>
      </c>
      <c r="X65" s="1">
        <v>45791</v>
      </c>
      <c r="Y65" t="s">
        <v>7</v>
      </c>
      <c r="Z65">
        <v>58.7</v>
      </c>
    </row>
    <row r="66" spans="1:26" ht="17" thickBot="1" x14ac:dyDescent="0.25">
      <c r="A66">
        <v>65</v>
      </c>
      <c r="B66" s="12">
        <v>45070</v>
      </c>
      <c r="C66" s="13" t="s">
        <v>7</v>
      </c>
      <c r="D66" s="13">
        <v>77</v>
      </c>
      <c r="E66" s="13">
        <v>68.7</v>
      </c>
      <c r="H66" s="1">
        <v>45462</v>
      </c>
      <c r="I66" s="20">
        <f>AVERAGE(D119:D124)</f>
        <v>64.583333333333329</v>
      </c>
      <c r="J66" s="26">
        <v>6</v>
      </c>
      <c r="W66">
        <v>65</v>
      </c>
      <c r="X66" s="12">
        <v>45483</v>
      </c>
      <c r="Y66" s="13" t="s">
        <v>7</v>
      </c>
      <c r="Z66" s="13">
        <v>58.8</v>
      </c>
    </row>
    <row r="67" spans="1:26" ht="17" thickBot="1" x14ac:dyDescent="0.25">
      <c r="A67">
        <v>66</v>
      </c>
      <c r="B67" s="6">
        <v>45112</v>
      </c>
      <c r="C67" s="7" t="s">
        <v>7</v>
      </c>
      <c r="D67" s="7">
        <v>59.3</v>
      </c>
      <c r="E67" s="7">
        <v>52.9</v>
      </c>
      <c r="H67" s="1">
        <v>45483</v>
      </c>
      <c r="I67" s="20">
        <f>AVERAGE(D125:D136)</f>
        <v>68.61666666666666</v>
      </c>
      <c r="J67" s="26">
        <v>12</v>
      </c>
      <c r="W67">
        <v>66</v>
      </c>
      <c r="X67" s="6">
        <v>45791</v>
      </c>
      <c r="Y67" s="7" t="s">
        <v>7</v>
      </c>
      <c r="Z67" s="7">
        <v>58.9</v>
      </c>
    </row>
    <row r="68" spans="1:26" x14ac:dyDescent="0.2">
      <c r="A68">
        <v>67</v>
      </c>
      <c r="B68" s="1">
        <v>45112</v>
      </c>
      <c r="C68" t="s">
        <v>7</v>
      </c>
      <c r="D68">
        <v>74.2</v>
      </c>
      <c r="E68">
        <v>66.2</v>
      </c>
      <c r="H68" s="6">
        <v>45518</v>
      </c>
      <c r="I68" s="20">
        <f>AVERAGE(D137:D145)</f>
        <v>58.622222222222227</v>
      </c>
      <c r="J68" s="26">
        <v>9</v>
      </c>
      <c r="W68">
        <v>67</v>
      </c>
      <c r="X68" s="1">
        <v>45112</v>
      </c>
      <c r="Y68" t="s">
        <v>7</v>
      </c>
      <c r="Z68">
        <v>59.3</v>
      </c>
    </row>
    <row r="69" spans="1:26" x14ac:dyDescent="0.2">
      <c r="A69">
        <v>68</v>
      </c>
      <c r="B69" s="1">
        <v>45112</v>
      </c>
      <c r="C69" t="s">
        <v>7</v>
      </c>
      <c r="D69">
        <v>71.8</v>
      </c>
      <c r="E69">
        <v>64.099999999999994</v>
      </c>
      <c r="H69" s="1">
        <v>45553</v>
      </c>
      <c r="I69" s="20">
        <f>AVERAGE(D146:D162)</f>
        <v>68.388235294117635</v>
      </c>
      <c r="J69" s="26">
        <v>17</v>
      </c>
      <c r="W69">
        <v>68</v>
      </c>
      <c r="X69" s="1">
        <v>45665</v>
      </c>
      <c r="Y69" s="20" t="s">
        <v>7</v>
      </c>
      <c r="Z69">
        <v>59.3</v>
      </c>
    </row>
    <row r="70" spans="1:26" ht="17" thickBot="1" x14ac:dyDescent="0.25">
      <c r="A70">
        <v>69</v>
      </c>
      <c r="B70" s="12">
        <v>45112</v>
      </c>
      <c r="C70" s="13" t="s">
        <v>7</v>
      </c>
      <c r="D70" s="13">
        <v>55.4</v>
      </c>
      <c r="E70" s="13">
        <v>49.5</v>
      </c>
      <c r="H70" s="1">
        <v>45567</v>
      </c>
      <c r="I70" s="20">
        <f>AVERAGE(D163:D174)</f>
        <v>72.183333333333323</v>
      </c>
      <c r="J70" s="26">
        <v>12</v>
      </c>
      <c r="W70">
        <v>69</v>
      </c>
      <c r="X70" s="12">
        <v>45210</v>
      </c>
      <c r="Y70" s="13" t="s">
        <v>7</v>
      </c>
      <c r="Z70" s="13">
        <v>59.4</v>
      </c>
    </row>
    <row r="71" spans="1:26" x14ac:dyDescent="0.2">
      <c r="A71">
        <v>70</v>
      </c>
      <c r="B71" s="6">
        <v>45161</v>
      </c>
      <c r="C71" s="7" t="s">
        <v>7</v>
      </c>
      <c r="D71" s="7">
        <v>90.2</v>
      </c>
      <c r="E71" s="7">
        <v>80.5</v>
      </c>
      <c r="H71" s="1">
        <v>45581</v>
      </c>
      <c r="I71" s="20">
        <f>AVERAGE(D175:D182)</f>
        <v>60.024999999999999</v>
      </c>
      <c r="J71" s="26">
        <v>8</v>
      </c>
      <c r="W71">
        <v>70</v>
      </c>
      <c r="X71" s="6">
        <v>45518</v>
      </c>
      <c r="Y71" s="7" t="s">
        <v>7</v>
      </c>
      <c r="Z71" s="7">
        <v>59.5</v>
      </c>
    </row>
    <row r="72" spans="1:26" x14ac:dyDescent="0.2">
      <c r="A72">
        <v>71</v>
      </c>
      <c r="B72" s="1">
        <v>45161</v>
      </c>
      <c r="C72" t="s">
        <v>7</v>
      </c>
      <c r="D72">
        <v>79.2</v>
      </c>
      <c r="E72">
        <v>70.7</v>
      </c>
      <c r="H72" s="1">
        <v>45595</v>
      </c>
      <c r="I72" s="20">
        <f>AVERAGE(D183:D192)</f>
        <v>71.319999999999993</v>
      </c>
      <c r="J72" s="26">
        <v>10</v>
      </c>
      <c r="W72">
        <v>71</v>
      </c>
      <c r="X72" s="1">
        <v>45245</v>
      </c>
      <c r="Y72" t="s">
        <v>7</v>
      </c>
      <c r="Z72">
        <v>59.8</v>
      </c>
    </row>
    <row r="73" spans="1:26" x14ac:dyDescent="0.2">
      <c r="A73">
        <v>72</v>
      </c>
      <c r="B73" s="1">
        <v>45161</v>
      </c>
      <c r="C73" t="s">
        <v>7</v>
      </c>
      <c r="D73">
        <v>86.5</v>
      </c>
      <c r="E73">
        <v>77.2</v>
      </c>
      <c r="H73" s="1">
        <v>45609</v>
      </c>
      <c r="I73">
        <f>AVERAGE(D193:D201)</f>
        <v>64.7</v>
      </c>
      <c r="J73" s="26">
        <v>9</v>
      </c>
      <c r="W73">
        <v>72</v>
      </c>
      <c r="X73" s="1">
        <v>45861</v>
      </c>
      <c r="Y73" t="s">
        <v>7</v>
      </c>
      <c r="Z73">
        <v>60.1</v>
      </c>
    </row>
    <row r="74" spans="1:26" x14ac:dyDescent="0.2">
      <c r="A74">
        <v>73</v>
      </c>
      <c r="B74" s="1">
        <v>45161</v>
      </c>
      <c r="C74" t="s">
        <v>7</v>
      </c>
      <c r="D74">
        <v>74.7</v>
      </c>
      <c r="E74">
        <v>66.7</v>
      </c>
      <c r="H74" s="1">
        <v>45623</v>
      </c>
      <c r="I74" s="20">
        <f>AVERAGE(D202:D210)</f>
        <v>64.288888888888891</v>
      </c>
      <c r="J74" s="26">
        <v>9</v>
      </c>
      <c r="W74">
        <v>73</v>
      </c>
      <c r="X74" s="1">
        <v>44979</v>
      </c>
      <c r="Y74" t="s">
        <v>7</v>
      </c>
      <c r="Z74">
        <v>60.2</v>
      </c>
    </row>
    <row r="75" spans="1:26" ht="17" thickBot="1" x14ac:dyDescent="0.25">
      <c r="A75">
        <v>74</v>
      </c>
      <c r="B75" s="12">
        <v>45161</v>
      </c>
      <c r="C75" s="13" t="s">
        <v>7</v>
      </c>
      <c r="D75" s="13">
        <v>84</v>
      </c>
      <c r="E75" s="13">
        <v>75</v>
      </c>
      <c r="H75" s="1">
        <v>45637</v>
      </c>
      <c r="I75" s="20">
        <f>AVERAGE(D211:D220)</f>
        <v>61.029999999999994</v>
      </c>
      <c r="J75" s="26">
        <v>10</v>
      </c>
      <c r="W75">
        <v>74</v>
      </c>
      <c r="X75" s="12">
        <v>45609</v>
      </c>
      <c r="Y75" s="13" t="s">
        <v>7</v>
      </c>
      <c r="Z75" s="13">
        <v>60.6</v>
      </c>
    </row>
    <row r="76" spans="1:26" x14ac:dyDescent="0.2">
      <c r="A76">
        <v>75</v>
      </c>
      <c r="B76" s="1">
        <v>45210</v>
      </c>
      <c r="C76" t="s">
        <v>7</v>
      </c>
      <c r="D76">
        <v>53.5</v>
      </c>
      <c r="E76">
        <v>47.8</v>
      </c>
      <c r="H76" s="1">
        <v>45644</v>
      </c>
      <c r="I76" s="20">
        <f>AVERAGE(D221:D226)</f>
        <v>63.733333333333327</v>
      </c>
      <c r="J76" s="38">
        <v>6</v>
      </c>
      <c r="W76">
        <v>75</v>
      </c>
      <c r="X76" s="1">
        <v>45553</v>
      </c>
      <c r="Y76" t="s">
        <v>7</v>
      </c>
      <c r="Z76">
        <v>60.7</v>
      </c>
    </row>
    <row r="77" spans="1:26" x14ac:dyDescent="0.2">
      <c r="A77">
        <v>76</v>
      </c>
      <c r="B77" s="1">
        <v>45210</v>
      </c>
      <c r="C77" t="s">
        <v>7</v>
      </c>
      <c r="D77">
        <v>64.3</v>
      </c>
      <c r="E77">
        <v>57.4</v>
      </c>
      <c r="H77" s="1">
        <v>45665</v>
      </c>
      <c r="I77">
        <f>AVERAGE(D227:D235)</f>
        <v>71</v>
      </c>
      <c r="J77" s="38">
        <v>9</v>
      </c>
      <c r="W77">
        <v>76</v>
      </c>
      <c r="X77" s="1">
        <v>45609</v>
      </c>
      <c r="Y77" t="s">
        <v>7</v>
      </c>
      <c r="Z77">
        <v>60.7</v>
      </c>
    </row>
    <row r="78" spans="1:26" x14ac:dyDescent="0.2">
      <c r="A78">
        <v>77</v>
      </c>
      <c r="B78" s="1">
        <v>45210</v>
      </c>
      <c r="C78" t="s">
        <v>7</v>
      </c>
      <c r="D78">
        <v>71</v>
      </c>
      <c r="E78">
        <v>63.4</v>
      </c>
      <c r="H78" s="1">
        <v>45679</v>
      </c>
      <c r="I78" s="20">
        <f>AVERAGE(D236:D239)</f>
        <v>69.099999999999994</v>
      </c>
      <c r="J78" s="38">
        <v>4</v>
      </c>
      <c r="W78">
        <v>77</v>
      </c>
      <c r="X78" s="1">
        <v>45553</v>
      </c>
      <c r="Y78" t="s">
        <v>7</v>
      </c>
      <c r="Z78">
        <v>60.8</v>
      </c>
    </row>
    <row r="79" spans="1:26" x14ac:dyDescent="0.2">
      <c r="A79">
        <v>78</v>
      </c>
      <c r="B79" s="1">
        <v>45210</v>
      </c>
      <c r="C79" t="s">
        <v>7</v>
      </c>
      <c r="D79">
        <v>59.4</v>
      </c>
      <c r="E79">
        <v>53</v>
      </c>
      <c r="H79" s="1">
        <v>45693</v>
      </c>
      <c r="I79">
        <f>AVERAGE(D240:D243)</f>
        <v>69.699999999999989</v>
      </c>
      <c r="J79" s="38">
        <v>4</v>
      </c>
      <c r="W79">
        <v>78</v>
      </c>
      <c r="X79" s="1">
        <v>46099</v>
      </c>
      <c r="Y79" t="s">
        <v>7</v>
      </c>
      <c r="Z79">
        <v>60.8</v>
      </c>
    </row>
    <row r="80" spans="1:26" x14ac:dyDescent="0.2">
      <c r="A80">
        <v>79</v>
      </c>
      <c r="B80" s="1">
        <v>45210</v>
      </c>
      <c r="C80" t="s">
        <v>7</v>
      </c>
      <c r="D80">
        <v>70.3</v>
      </c>
      <c r="E80">
        <v>62.8</v>
      </c>
      <c r="H80" s="1">
        <v>45721</v>
      </c>
      <c r="I80">
        <f>AVERAGE(D244:D251)</f>
        <v>74.099999999999994</v>
      </c>
      <c r="J80" s="38">
        <v>8</v>
      </c>
      <c r="W80">
        <v>79</v>
      </c>
      <c r="X80" s="1">
        <v>46113</v>
      </c>
      <c r="Y80" t="s">
        <v>7</v>
      </c>
      <c r="Z80">
        <v>60.8</v>
      </c>
    </row>
    <row r="81" spans="1:26" x14ac:dyDescent="0.2">
      <c r="A81">
        <v>80</v>
      </c>
      <c r="B81" s="1">
        <v>45210</v>
      </c>
      <c r="C81" t="s">
        <v>7</v>
      </c>
      <c r="D81">
        <v>65.7</v>
      </c>
      <c r="E81">
        <v>58.7</v>
      </c>
      <c r="H81" s="1">
        <v>45735</v>
      </c>
      <c r="I81" s="20">
        <f>AVERAGE(D252:D259)</f>
        <v>61.662499999999994</v>
      </c>
      <c r="J81" s="38">
        <v>8</v>
      </c>
      <c r="W81">
        <v>80</v>
      </c>
      <c r="X81" s="1">
        <v>45315</v>
      </c>
      <c r="Y81" t="s">
        <v>7</v>
      </c>
      <c r="Z81">
        <v>60.9</v>
      </c>
    </row>
    <row r="82" spans="1:26" x14ac:dyDescent="0.2">
      <c r="A82">
        <v>81</v>
      </c>
      <c r="B82" s="1">
        <v>45210</v>
      </c>
      <c r="C82" t="s">
        <v>7</v>
      </c>
      <c r="D82">
        <v>61.8</v>
      </c>
      <c r="E82">
        <v>55.2</v>
      </c>
      <c r="H82" s="1">
        <v>45749</v>
      </c>
      <c r="I82" s="20">
        <f>AVERAGE(D260:D266)</f>
        <v>80.157142857142858</v>
      </c>
      <c r="J82" s="38">
        <v>7</v>
      </c>
      <c r="W82">
        <v>81</v>
      </c>
      <c r="X82" s="1">
        <v>45721</v>
      </c>
      <c r="Y82" t="s">
        <v>7</v>
      </c>
      <c r="Z82">
        <v>61.1</v>
      </c>
    </row>
    <row r="83" spans="1:26" x14ac:dyDescent="0.2">
      <c r="A83">
        <v>82</v>
      </c>
      <c r="B83" s="1">
        <v>45210</v>
      </c>
      <c r="C83" t="s">
        <v>7</v>
      </c>
      <c r="D83">
        <v>69.900000000000006</v>
      </c>
      <c r="E83">
        <v>62.4</v>
      </c>
      <c r="H83" s="1">
        <v>45763</v>
      </c>
      <c r="I83" s="20">
        <f>AVERAGE(D267:D275)</f>
        <v>65.188888888888883</v>
      </c>
      <c r="J83" s="38">
        <v>9</v>
      </c>
      <c r="W83">
        <v>82</v>
      </c>
      <c r="X83" s="1">
        <v>46099</v>
      </c>
      <c r="Y83" t="s">
        <v>7</v>
      </c>
      <c r="Z83">
        <v>61.1</v>
      </c>
    </row>
    <row r="84" spans="1:26" x14ac:dyDescent="0.2">
      <c r="A84">
        <v>83</v>
      </c>
      <c r="B84" s="1">
        <v>45210</v>
      </c>
      <c r="C84" t="s">
        <v>7</v>
      </c>
      <c r="D84">
        <v>70</v>
      </c>
      <c r="E84">
        <v>62.5</v>
      </c>
      <c r="H84" s="1">
        <v>45777</v>
      </c>
      <c r="I84">
        <f>AVERAGE(D276:D282)</f>
        <v>68.999999999999986</v>
      </c>
      <c r="J84" s="38">
        <v>7</v>
      </c>
      <c r="W84">
        <v>83</v>
      </c>
      <c r="X84" s="1">
        <v>44909</v>
      </c>
      <c r="Y84" t="s">
        <v>7</v>
      </c>
      <c r="Z84">
        <v>61.2</v>
      </c>
    </row>
    <row r="85" spans="1:26" x14ac:dyDescent="0.2">
      <c r="A85">
        <v>84</v>
      </c>
      <c r="B85" s="1">
        <v>45210</v>
      </c>
      <c r="C85" t="s">
        <v>7</v>
      </c>
      <c r="D85">
        <v>66.900000000000006</v>
      </c>
      <c r="E85">
        <v>59.7</v>
      </c>
      <c r="H85" s="1">
        <v>45791</v>
      </c>
      <c r="I85" s="20">
        <f>AVERAGE(D283:D289)</f>
        <v>66.242857142857147</v>
      </c>
      <c r="J85" s="38">
        <v>7</v>
      </c>
      <c r="W85">
        <v>84</v>
      </c>
      <c r="X85" s="1">
        <v>46099</v>
      </c>
      <c r="Y85" t="s">
        <v>7</v>
      </c>
      <c r="Z85">
        <v>61.2</v>
      </c>
    </row>
    <row r="86" spans="1:26" x14ac:dyDescent="0.2">
      <c r="A86">
        <v>85</v>
      </c>
      <c r="B86" s="1">
        <v>45210</v>
      </c>
      <c r="C86" t="s">
        <v>7</v>
      </c>
      <c r="D86">
        <v>69.900000000000006</v>
      </c>
      <c r="E86">
        <v>62.4</v>
      </c>
      <c r="H86" s="1">
        <v>45805</v>
      </c>
      <c r="I86">
        <f>AVERAGE(D290:D297)</f>
        <v>72.800000000000011</v>
      </c>
      <c r="J86" s="38">
        <v>8</v>
      </c>
      <c r="W86">
        <v>85</v>
      </c>
      <c r="X86" s="1">
        <v>44979</v>
      </c>
      <c r="Y86" t="s">
        <v>7</v>
      </c>
      <c r="Z86">
        <v>61.3</v>
      </c>
    </row>
    <row r="87" spans="1:26" ht="17" thickBot="1" x14ac:dyDescent="0.25">
      <c r="A87">
        <v>86</v>
      </c>
      <c r="B87" s="1">
        <v>45210</v>
      </c>
      <c r="C87" t="s">
        <v>7</v>
      </c>
      <c r="D87">
        <v>53</v>
      </c>
      <c r="E87">
        <v>47.3</v>
      </c>
      <c r="H87" s="1">
        <v>45819</v>
      </c>
      <c r="I87">
        <f>AVERAGE(D298:D299)</f>
        <v>75.199999999999989</v>
      </c>
      <c r="J87" s="38">
        <v>2</v>
      </c>
      <c r="W87">
        <v>86</v>
      </c>
      <c r="X87" s="1">
        <v>45352</v>
      </c>
      <c r="Y87" t="s">
        <v>7</v>
      </c>
      <c r="Z87">
        <v>61.5</v>
      </c>
    </row>
    <row r="88" spans="1:26" x14ac:dyDescent="0.2">
      <c r="A88">
        <v>87</v>
      </c>
      <c r="B88" s="6">
        <v>45245</v>
      </c>
      <c r="C88" s="7" t="s">
        <v>7</v>
      </c>
      <c r="D88" s="7">
        <v>59.8</v>
      </c>
      <c r="E88" s="7">
        <v>53.4</v>
      </c>
      <c r="H88" s="1">
        <v>45833</v>
      </c>
      <c r="I88" s="20">
        <f>AVERAGE(D300:D306)</f>
        <v>79.45714285714287</v>
      </c>
      <c r="J88" s="38">
        <v>7</v>
      </c>
      <c r="W88">
        <v>87</v>
      </c>
      <c r="X88" s="6">
        <v>44916</v>
      </c>
      <c r="Y88" s="7" t="s">
        <v>7</v>
      </c>
      <c r="Z88" s="7">
        <v>61.8</v>
      </c>
    </row>
    <row r="89" spans="1:26" x14ac:dyDescent="0.2">
      <c r="A89">
        <v>88</v>
      </c>
      <c r="B89" s="1">
        <v>45245</v>
      </c>
      <c r="C89" t="s">
        <v>7</v>
      </c>
      <c r="D89">
        <v>57.7</v>
      </c>
      <c r="E89">
        <v>51.5</v>
      </c>
      <c r="H89" s="1">
        <v>45847</v>
      </c>
      <c r="I89" s="20">
        <f>AVERAGE(D307:D315)</f>
        <v>70.36666666666666</v>
      </c>
      <c r="J89" s="38">
        <v>9</v>
      </c>
      <c r="W89">
        <v>88</v>
      </c>
      <c r="X89" s="1">
        <v>45210</v>
      </c>
      <c r="Y89" t="s">
        <v>7</v>
      </c>
      <c r="Z89">
        <v>61.8</v>
      </c>
    </row>
    <row r="90" spans="1:26" x14ac:dyDescent="0.2">
      <c r="A90">
        <v>89</v>
      </c>
      <c r="B90" s="1">
        <v>45245</v>
      </c>
      <c r="C90" t="s">
        <v>7</v>
      </c>
      <c r="D90">
        <v>77.8</v>
      </c>
      <c r="E90">
        <v>69.5</v>
      </c>
      <c r="H90" s="1">
        <v>45861</v>
      </c>
      <c r="I90" s="20">
        <f>AVERAGE(D316:D321)</f>
        <v>71.983333333333334</v>
      </c>
      <c r="J90" s="38">
        <v>6</v>
      </c>
      <c r="W90">
        <v>89</v>
      </c>
      <c r="X90" s="1">
        <v>45352</v>
      </c>
      <c r="Y90" t="s">
        <v>7</v>
      </c>
      <c r="Z90">
        <v>61.8</v>
      </c>
    </row>
    <row r="91" spans="1:26" x14ac:dyDescent="0.2">
      <c r="A91">
        <v>90</v>
      </c>
      <c r="B91" s="1">
        <v>45245</v>
      </c>
      <c r="C91" t="s">
        <v>7</v>
      </c>
      <c r="D91">
        <v>63.4</v>
      </c>
      <c r="E91">
        <v>56.6</v>
      </c>
      <c r="H91" s="1">
        <v>45889</v>
      </c>
      <c r="I91" s="20">
        <f>AVERAGE(D322:D323)</f>
        <v>75.25</v>
      </c>
      <c r="J91" s="38">
        <v>2</v>
      </c>
      <c r="W91">
        <v>90</v>
      </c>
      <c r="X91" s="1">
        <v>45665</v>
      </c>
      <c r="Y91" t="s">
        <v>7</v>
      </c>
      <c r="Z91">
        <v>62.1</v>
      </c>
    </row>
    <row r="92" spans="1:26" x14ac:dyDescent="0.2">
      <c r="A92">
        <v>91</v>
      </c>
      <c r="B92" s="1">
        <v>45245</v>
      </c>
      <c r="C92" t="s">
        <v>7</v>
      </c>
      <c r="D92">
        <v>71.599999999999994</v>
      </c>
      <c r="E92">
        <v>63.9</v>
      </c>
      <c r="H92" s="1">
        <v>45903</v>
      </c>
      <c r="I92" s="20">
        <f>AVERAGE(D324:D326)</f>
        <v>78.766666666666666</v>
      </c>
      <c r="J92" s="38">
        <v>3</v>
      </c>
      <c r="W92">
        <v>91</v>
      </c>
      <c r="X92" s="1">
        <v>45763</v>
      </c>
      <c r="Y92" t="s">
        <v>7</v>
      </c>
      <c r="Z92">
        <v>62.1</v>
      </c>
    </row>
    <row r="93" spans="1:26" ht="17" thickBot="1" x14ac:dyDescent="0.25">
      <c r="A93">
        <v>92</v>
      </c>
      <c r="B93" s="12">
        <v>45245</v>
      </c>
      <c r="C93" s="13" t="s">
        <v>7</v>
      </c>
      <c r="D93" s="13">
        <v>64.400000000000006</v>
      </c>
      <c r="E93" s="13">
        <v>57.5</v>
      </c>
      <c r="H93" s="1">
        <v>45917</v>
      </c>
      <c r="I93" s="20">
        <f>AVERAGE(D327:D331)</f>
        <v>73.419999999999987</v>
      </c>
      <c r="J93" s="38">
        <v>5</v>
      </c>
      <c r="W93">
        <v>92</v>
      </c>
      <c r="X93" s="12">
        <v>46043</v>
      </c>
      <c r="Y93" s="13" t="s">
        <v>7</v>
      </c>
      <c r="Z93" s="13">
        <v>62.2</v>
      </c>
    </row>
    <row r="94" spans="1:26" x14ac:dyDescent="0.2">
      <c r="A94">
        <v>93</v>
      </c>
      <c r="B94" s="6">
        <v>45315</v>
      </c>
      <c r="C94" s="7" t="s">
        <v>7</v>
      </c>
      <c r="D94" s="7">
        <v>46.3</v>
      </c>
      <c r="E94" s="7">
        <v>41.3</v>
      </c>
      <c r="H94" s="1">
        <v>45931</v>
      </c>
      <c r="I94" s="20">
        <f>AVERAGE(D332:D336)</f>
        <v>76.759999999999991</v>
      </c>
      <c r="J94" s="38">
        <v>5</v>
      </c>
      <c r="W94">
        <v>93</v>
      </c>
      <c r="X94" s="6">
        <v>44937</v>
      </c>
      <c r="Y94" s="7" t="s">
        <v>7</v>
      </c>
      <c r="Z94" s="7">
        <v>62.7</v>
      </c>
    </row>
    <row r="95" spans="1:26" x14ac:dyDescent="0.2">
      <c r="A95">
        <v>94</v>
      </c>
      <c r="B95" s="1">
        <v>45315</v>
      </c>
      <c r="C95" t="s">
        <v>7</v>
      </c>
      <c r="D95">
        <v>66.5</v>
      </c>
      <c r="E95">
        <v>59.4</v>
      </c>
      <c r="H95" s="1">
        <v>45945</v>
      </c>
      <c r="I95" s="20">
        <f>AVERAGE(D337:D342)</f>
        <v>74.533333333333346</v>
      </c>
      <c r="J95" s="38">
        <v>6</v>
      </c>
      <c r="W95">
        <v>94</v>
      </c>
      <c r="X95" s="1">
        <v>45623</v>
      </c>
      <c r="Y95" t="s">
        <v>7</v>
      </c>
      <c r="Z95">
        <v>62.7</v>
      </c>
    </row>
    <row r="96" spans="1:26" x14ac:dyDescent="0.2">
      <c r="A96">
        <v>95</v>
      </c>
      <c r="B96" s="1">
        <v>45315</v>
      </c>
      <c r="C96" t="s">
        <v>7</v>
      </c>
      <c r="D96">
        <v>78.3</v>
      </c>
      <c r="E96">
        <v>69.900000000000006</v>
      </c>
      <c r="H96" s="1">
        <v>45959</v>
      </c>
      <c r="I96">
        <f>D343</f>
        <v>89.8</v>
      </c>
      <c r="J96" s="38">
        <v>1</v>
      </c>
      <c r="W96">
        <v>95</v>
      </c>
      <c r="X96" s="1">
        <v>44979</v>
      </c>
      <c r="Y96" t="s">
        <v>7</v>
      </c>
      <c r="Z96">
        <v>62.9</v>
      </c>
    </row>
    <row r="97" spans="1:26" x14ac:dyDescent="0.2">
      <c r="A97">
        <v>96</v>
      </c>
      <c r="B97" s="1">
        <v>45315</v>
      </c>
      <c r="C97" t="s">
        <v>7</v>
      </c>
      <c r="D97">
        <v>79.599999999999994</v>
      </c>
      <c r="E97">
        <v>71.099999999999994</v>
      </c>
      <c r="H97" s="1">
        <v>45973</v>
      </c>
      <c r="I97" s="20">
        <f>AVERAGE(D344:D346)</f>
        <v>70.666666666666671</v>
      </c>
      <c r="J97" s="38">
        <v>3</v>
      </c>
      <c r="W97">
        <v>96</v>
      </c>
      <c r="X97" s="1">
        <v>45581</v>
      </c>
      <c r="Y97" t="s">
        <v>7</v>
      </c>
      <c r="Z97">
        <v>62.9</v>
      </c>
    </row>
    <row r="98" spans="1:26" x14ac:dyDescent="0.2">
      <c r="A98">
        <v>97</v>
      </c>
      <c r="B98" s="1">
        <v>45315</v>
      </c>
      <c r="C98" t="s">
        <v>7</v>
      </c>
      <c r="D98">
        <v>74.900000000000006</v>
      </c>
      <c r="E98">
        <v>66.900000000000006</v>
      </c>
      <c r="H98" s="1">
        <v>45987</v>
      </c>
      <c r="I98" s="20">
        <f>AVERAGE(D347:D355)</f>
        <v>76.388888888888886</v>
      </c>
      <c r="J98" s="38">
        <v>9</v>
      </c>
      <c r="W98">
        <v>97</v>
      </c>
      <c r="X98" s="1">
        <v>45315</v>
      </c>
      <c r="Y98" t="s">
        <v>7</v>
      </c>
      <c r="Z98">
        <v>63.1</v>
      </c>
    </row>
    <row r="99" spans="1:26" x14ac:dyDescent="0.2">
      <c r="A99">
        <v>98</v>
      </c>
      <c r="B99" s="1">
        <v>45315</v>
      </c>
      <c r="C99" t="s">
        <v>7</v>
      </c>
      <c r="D99">
        <v>65.2</v>
      </c>
      <c r="E99">
        <v>58.2</v>
      </c>
      <c r="H99" s="1">
        <v>46043</v>
      </c>
      <c r="I99">
        <f>AVERAGE(D356:D360)</f>
        <v>73.039999999999992</v>
      </c>
      <c r="J99" s="38">
        <v>5</v>
      </c>
      <c r="W99">
        <v>98</v>
      </c>
      <c r="X99" s="1">
        <v>46085</v>
      </c>
      <c r="Y99" t="s">
        <v>7</v>
      </c>
      <c r="Z99">
        <v>63.2</v>
      </c>
    </row>
    <row r="100" spans="1:26" x14ac:dyDescent="0.2">
      <c r="A100">
        <v>99</v>
      </c>
      <c r="B100" s="1">
        <v>45315</v>
      </c>
      <c r="C100" t="s">
        <v>7</v>
      </c>
      <c r="D100">
        <v>77.099999999999994</v>
      </c>
      <c r="E100">
        <v>68.8</v>
      </c>
      <c r="H100" s="1">
        <v>46057</v>
      </c>
      <c r="I100">
        <f>AVERAGE(D361:D365)</f>
        <v>90.179999999999993</v>
      </c>
      <c r="J100" s="38">
        <v>5</v>
      </c>
      <c r="W100">
        <v>99</v>
      </c>
      <c r="X100" s="1">
        <v>45245</v>
      </c>
      <c r="Y100" t="s">
        <v>7</v>
      </c>
      <c r="Z100">
        <v>63.4</v>
      </c>
    </row>
    <row r="101" spans="1:26" x14ac:dyDescent="0.2">
      <c r="A101">
        <v>100</v>
      </c>
      <c r="B101" s="1">
        <v>45315</v>
      </c>
      <c r="C101" t="s">
        <v>7</v>
      </c>
      <c r="D101">
        <v>77.2</v>
      </c>
      <c r="E101">
        <v>68.900000000000006</v>
      </c>
      <c r="H101" s="1">
        <v>46085</v>
      </c>
      <c r="I101" s="46">
        <f>AVERAGE(D366:D371)</f>
        <v>69.416666666666657</v>
      </c>
      <c r="J101" s="38">
        <v>6</v>
      </c>
      <c r="W101">
        <v>100</v>
      </c>
      <c r="X101" s="1">
        <v>45567</v>
      </c>
      <c r="Y101" t="s">
        <v>7</v>
      </c>
      <c r="Z101">
        <v>63.4</v>
      </c>
    </row>
    <row r="102" spans="1:26" x14ac:dyDescent="0.2">
      <c r="A102">
        <v>101</v>
      </c>
      <c r="B102" s="1">
        <v>45315</v>
      </c>
      <c r="C102" t="s">
        <v>7</v>
      </c>
      <c r="D102">
        <v>74.099999999999994</v>
      </c>
      <c r="E102">
        <v>66.2</v>
      </c>
      <c r="H102" s="1">
        <v>46099</v>
      </c>
      <c r="I102">
        <f>AVERAGE(D372:D379)</f>
        <v>69</v>
      </c>
      <c r="J102" s="38">
        <v>8</v>
      </c>
      <c r="W102">
        <v>101</v>
      </c>
      <c r="X102" s="1">
        <v>45595</v>
      </c>
      <c r="Y102" t="s">
        <v>7</v>
      </c>
      <c r="Z102">
        <v>63.4</v>
      </c>
    </row>
    <row r="103" spans="1:26" x14ac:dyDescent="0.2">
      <c r="A103">
        <v>102</v>
      </c>
      <c r="B103" s="1">
        <v>45315</v>
      </c>
      <c r="C103" t="s">
        <v>7</v>
      </c>
      <c r="D103">
        <v>60.9</v>
      </c>
      <c r="E103">
        <v>54.4</v>
      </c>
      <c r="H103" s="1">
        <v>46113</v>
      </c>
      <c r="I103">
        <f>AVERAGE(D380:D389)</f>
        <v>73.180000000000007</v>
      </c>
      <c r="J103" s="38">
        <v>10</v>
      </c>
      <c r="W103">
        <v>102</v>
      </c>
      <c r="X103" s="1">
        <v>45987</v>
      </c>
      <c r="Y103" t="s">
        <v>7</v>
      </c>
      <c r="Z103">
        <v>63.4</v>
      </c>
    </row>
    <row r="104" spans="1:26" x14ac:dyDescent="0.2">
      <c r="A104">
        <v>103</v>
      </c>
      <c r="B104" s="1">
        <v>45315</v>
      </c>
      <c r="C104" t="s">
        <v>7</v>
      </c>
      <c r="D104">
        <v>63.1</v>
      </c>
      <c r="E104">
        <v>56.3</v>
      </c>
      <c r="W104">
        <v>103</v>
      </c>
      <c r="X104" s="1">
        <v>45581</v>
      </c>
      <c r="Y104" t="s">
        <v>7</v>
      </c>
      <c r="Z104">
        <v>63.5</v>
      </c>
    </row>
    <row r="105" spans="1:26" ht="17" thickBot="1" x14ac:dyDescent="0.25">
      <c r="A105">
        <v>104</v>
      </c>
      <c r="B105" s="12">
        <v>45315</v>
      </c>
      <c r="C105" s="13" t="s">
        <v>7</v>
      </c>
      <c r="D105" s="13">
        <v>67.5</v>
      </c>
      <c r="E105" s="13">
        <v>65</v>
      </c>
      <c r="W105">
        <v>104</v>
      </c>
      <c r="X105" s="12">
        <v>45735</v>
      </c>
      <c r="Y105" s="13" t="s">
        <v>7</v>
      </c>
      <c r="Z105" s="13">
        <v>63.5</v>
      </c>
    </row>
    <row r="106" spans="1:26" x14ac:dyDescent="0.2">
      <c r="A106">
        <v>105</v>
      </c>
      <c r="B106" s="6">
        <v>45352</v>
      </c>
      <c r="C106" s="7" t="s">
        <v>7</v>
      </c>
      <c r="D106" s="7">
        <v>82.4</v>
      </c>
      <c r="E106" s="7">
        <v>73.599999999999994</v>
      </c>
      <c r="W106">
        <v>105</v>
      </c>
      <c r="X106" s="6">
        <v>45553</v>
      </c>
      <c r="Y106" s="7" t="s">
        <v>7</v>
      </c>
      <c r="Z106" s="7">
        <v>63.6</v>
      </c>
    </row>
    <row r="107" spans="1:26" x14ac:dyDescent="0.2">
      <c r="A107">
        <v>106</v>
      </c>
      <c r="B107" s="1">
        <v>45352</v>
      </c>
      <c r="C107" t="s">
        <v>7</v>
      </c>
      <c r="D107">
        <v>61.8</v>
      </c>
      <c r="E107">
        <v>55.2</v>
      </c>
      <c r="W107">
        <v>106</v>
      </c>
      <c r="X107" s="35">
        <v>45679</v>
      </c>
      <c r="Y107" s="36" t="s">
        <v>7</v>
      </c>
      <c r="Z107" s="36">
        <v>64.099999999999994</v>
      </c>
    </row>
    <row r="108" spans="1:26" x14ac:dyDescent="0.2">
      <c r="A108">
        <v>107</v>
      </c>
      <c r="B108" s="1">
        <v>45352</v>
      </c>
      <c r="C108" t="s">
        <v>7</v>
      </c>
      <c r="D108">
        <v>61.5</v>
      </c>
      <c r="E108">
        <v>54.9</v>
      </c>
      <c r="W108">
        <v>107</v>
      </c>
      <c r="X108" s="1">
        <v>45070</v>
      </c>
      <c r="Y108" t="s">
        <v>7</v>
      </c>
      <c r="Z108">
        <v>64.2</v>
      </c>
    </row>
    <row r="109" spans="1:26" x14ac:dyDescent="0.2">
      <c r="A109">
        <v>108</v>
      </c>
      <c r="B109" s="1">
        <v>45352</v>
      </c>
      <c r="C109" t="s">
        <v>7</v>
      </c>
      <c r="D109">
        <v>70.400000000000006</v>
      </c>
      <c r="E109">
        <v>62.8</v>
      </c>
      <c r="W109">
        <v>108</v>
      </c>
      <c r="X109" s="1">
        <v>45462</v>
      </c>
      <c r="Y109" t="s">
        <v>7</v>
      </c>
      <c r="Z109">
        <v>64.2</v>
      </c>
    </row>
    <row r="110" spans="1:26" x14ac:dyDescent="0.2">
      <c r="A110">
        <v>109</v>
      </c>
      <c r="B110" s="1">
        <v>45352</v>
      </c>
      <c r="C110" t="s">
        <v>7</v>
      </c>
      <c r="D110">
        <v>75.7</v>
      </c>
      <c r="E110">
        <v>67.599999999999994</v>
      </c>
      <c r="W110">
        <v>109</v>
      </c>
      <c r="X110" s="1">
        <v>45210</v>
      </c>
      <c r="Y110" t="s">
        <v>7</v>
      </c>
      <c r="Z110">
        <v>64.3</v>
      </c>
    </row>
    <row r="111" spans="1:26" x14ac:dyDescent="0.2">
      <c r="A111">
        <v>110</v>
      </c>
      <c r="B111" s="1">
        <v>45352</v>
      </c>
      <c r="C111" t="s">
        <v>7</v>
      </c>
      <c r="D111">
        <v>73.3</v>
      </c>
      <c r="E111">
        <v>65.400000000000006</v>
      </c>
      <c r="W111">
        <v>110</v>
      </c>
      <c r="X111" s="1">
        <v>45483</v>
      </c>
      <c r="Y111" t="s">
        <v>7</v>
      </c>
      <c r="Z111">
        <v>64.3</v>
      </c>
    </row>
    <row r="112" spans="1:26" x14ac:dyDescent="0.2">
      <c r="A112">
        <v>111</v>
      </c>
      <c r="B112" s="1">
        <v>45352</v>
      </c>
      <c r="C112" t="s">
        <v>7</v>
      </c>
      <c r="D112">
        <v>83.6</v>
      </c>
      <c r="E112">
        <v>74.599999999999994</v>
      </c>
      <c r="W112">
        <v>111</v>
      </c>
      <c r="X112" s="1">
        <v>45245</v>
      </c>
      <c r="Y112" t="s">
        <v>7</v>
      </c>
      <c r="Z112">
        <v>64.400000000000006</v>
      </c>
    </row>
    <row r="113" spans="1:26" ht="17" thickBot="1" x14ac:dyDescent="0.25">
      <c r="A113">
        <v>112</v>
      </c>
      <c r="B113" s="12">
        <v>45352</v>
      </c>
      <c r="C113" s="13" t="s">
        <v>7</v>
      </c>
      <c r="D113" s="13">
        <v>76.2</v>
      </c>
      <c r="E113" s="13">
        <v>68</v>
      </c>
      <c r="W113">
        <v>112</v>
      </c>
      <c r="X113" s="12">
        <v>46085</v>
      </c>
      <c r="Y113" s="13" t="s">
        <v>7</v>
      </c>
      <c r="Z113" s="13">
        <v>64.5</v>
      </c>
    </row>
    <row r="114" spans="1:26" x14ac:dyDescent="0.2">
      <c r="A114">
        <v>113</v>
      </c>
      <c r="B114" s="1">
        <v>45392</v>
      </c>
      <c r="C114" t="s">
        <v>7</v>
      </c>
      <c r="D114">
        <v>52.2</v>
      </c>
      <c r="E114">
        <v>46.6</v>
      </c>
      <c r="W114">
        <v>113</v>
      </c>
      <c r="X114" s="1">
        <v>46085</v>
      </c>
      <c r="Y114" t="s">
        <v>7</v>
      </c>
      <c r="Z114">
        <v>64.7</v>
      </c>
    </row>
    <row r="115" spans="1:26" x14ac:dyDescent="0.2">
      <c r="A115">
        <v>114</v>
      </c>
      <c r="B115" s="1">
        <v>45392</v>
      </c>
      <c r="C115" t="s">
        <v>7</v>
      </c>
      <c r="D115">
        <v>74.5</v>
      </c>
      <c r="E115">
        <v>66.5</v>
      </c>
      <c r="W115">
        <v>114</v>
      </c>
      <c r="X115" s="1">
        <v>45553</v>
      </c>
      <c r="Y115" t="s">
        <v>7</v>
      </c>
      <c r="Z115">
        <v>64.900000000000006</v>
      </c>
    </row>
    <row r="116" spans="1:26" x14ac:dyDescent="0.2">
      <c r="A116">
        <v>115</v>
      </c>
      <c r="B116" s="1">
        <v>45392</v>
      </c>
      <c r="C116" t="s">
        <v>7</v>
      </c>
      <c r="D116">
        <v>58.7</v>
      </c>
      <c r="E116">
        <v>52.4</v>
      </c>
      <c r="W116">
        <v>115</v>
      </c>
      <c r="X116" s="1">
        <v>45861</v>
      </c>
      <c r="Y116" t="s">
        <v>7</v>
      </c>
      <c r="Z116">
        <v>65</v>
      </c>
    </row>
    <row r="117" spans="1:26" x14ac:dyDescent="0.2">
      <c r="A117">
        <v>116</v>
      </c>
      <c r="B117" s="1">
        <v>45392</v>
      </c>
      <c r="C117" t="s">
        <v>7</v>
      </c>
      <c r="D117">
        <v>75.3</v>
      </c>
      <c r="E117">
        <v>67.2</v>
      </c>
      <c r="W117">
        <v>116</v>
      </c>
      <c r="X117" s="1">
        <v>45945</v>
      </c>
      <c r="Y117" t="s">
        <v>7</v>
      </c>
      <c r="Z117">
        <v>65</v>
      </c>
    </row>
    <row r="118" spans="1:26" ht="17" thickBot="1" x14ac:dyDescent="0.25">
      <c r="A118">
        <v>117</v>
      </c>
      <c r="B118" s="1">
        <v>45392</v>
      </c>
      <c r="C118" t="s">
        <v>7</v>
      </c>
      <c r="D118">
        <v>91.5</v>
      </c>
      <c r="E118">
        <v>81.7</v>
      </c>
      <c r="W118">
        <v>117</v>
      </c>
      <c r="X118" s="1">
        <v>45595</v>
      </c>
      <c r="Y118" t="s">
        <v>7</v>
      </c>
      <c r="Z118">
        <v>65.099999999999994</v>
      </c>
    </row>
    <row r="119" spans="1:26" x14ac:dyDescent="0.2">
      <c r="A119">
        <v>118</v>
      </c>
      <c r="B119" s="6">
        <v>45462</v>
      </c>
      <c r="C119" s="7" t="s">
        <v>7</v>
      </c>
      <c r="D119" s="7">
        <v>70.7</v>
      </c>
      <c r="E119" s="7">
        <v>63.1</v>
      </c>
      <c r="W119">
        <v>118</v>
      </c>
      <c r="X119" s="6">
        <v>45315</v>
      </c>
      <c r="Y119" s="7" t="s">
        <v>7</v>
      </c>
      <c r="Z119" s="7">
        <v>65.2</v>
      </c>
    </row>
    <row r="120" spans="1:26" x14ac:dyDescent="0.2">
      <c r="A120">
        <v>119</v>
      </c>
      <c r="B120" s="1">
        <v>45462</v>
      </c>
      <c r="C120" t="s">
        <v>7</v>
      </c>
      <c r="D120">
        <v>70.2</v>
      </c>
      <c r="E120">
        <v>62.7</v>
      </c>
      <c r="W120">
        <v>119</v>
      </c>
      <c r="X120" s="1">
        <v>45861</v>
      </c>
      <c r="Y120" t="s">
        <v>7</v>
      </c>
      <c r="Z120">
        <v>65.2</v>
      </c>
    </row>
    <row r="121" spans="1:26" x14ac:dyDescent="0.2">
      <c r="A121">
        <v>120</v>
      </c>
      <c r="B121" s="1">
        <v>45462</v>
      </c>
      <c r="C121" t="s">
        <v>7</v>
      </c>
      <c r="D121">
        <v>64.2</v>
      </c>
      <c r="E121">
        <v>57.3</v>
      </c>
      <c r="W121">
        <v>120</v>
      </c>
      <c r="X121" s="1">
        <v>44953</v>
      </c>
      <c r="Y121" t="s">
        <v>7</v>
      </c>
      <c r="Z121">
        <v>65.400000000000006</v>
      </c>
    </row>
    <row r="122" spans="1:26" x14ac:dyDescent="0.2">
      <c r="A122">
        <v>121</v>
      </c>
      <c r="B122" s="1">
        <v>45462</v>
      </c>
      <c r="C122" t="s">
        <v>7</v>
      </c>
      <c r="D122">
        <v>69.400000000000006</v>
      </c>
      <c r="E122">
        <v>62</v>
      </c>
      <c r="W122">
        <v>121</v>
      </c>
      <c r="X122" s="1">
        <v>45623</v>
      </c>
      <c r="Y122" t="s">
        <v>7</v>
      </c>
      <c r="Z122">
        <v>65.5</v>
      </c>
    </row>
    <row r="123" spans="1:26" x14ac:dyDescent="0.2">
      <c r="A123">
        <v>122</v>
      </c>
      <c r="B123" s="1">
        <v>45462</v>
      </c>
      <c r="C123" t="s">
        <v>7</v>
      </c>
      <c r="D123">
        <v>69</v>
      </c>
      <c r="E123">
        <v>61.6</v>
      </c>
      <c r="W123">
        <v>122</v>
      </c>
      <c r="X123" s="1">
        <v>46043</v>
      </c>
      <c r="Y123" t="s">
        <v>7</v>
      </c>
      <c r="Z123">
        <v>65.5</v>
      </c>
    </row>
    <row r="124" spans="1:26" ht="17" thickBot="1" x14ac:dyDescent="0.25">
      <c r="A124">
        <v>123</v>
      </c>
      <c r="B124" s="12">
        <v>45462</v>
      </c>
      <c r="C124" s="13" t="s">
        <v>7</v>
      </c>
      <c r="D124" s="13">
        <v>44</v>
      </c>
      <c r="E124" s="13">
        <v>39.299999999999997</v>
      </c>
      <c r="W124">
        <v>123</v>
      </c>
      <c r="X124" s="12">
        <v>45210</v>
      </c>
      <c r="Y124" s="13" t="s">
        <v>7</v>
      </c>
      <c r="Z124" s="13">
        <v>65.7</v>
      </c>
    </row>
    <row r="125" spans="1:26" x14ac:dyDescent="0.2">
      <c r="A125">
        <v>124</v>
      </c>
      <c r="B125" s="6">
        <v>45483</v>
      </c>
      <c r="C125" s="7" t="s">
        <v>7</v>
      </c>
      <c r="D125" s="7">
        <v>70.3</v>
      </c>
      <c r="E125" s="7">
        <v>62.8</v>
      </c>
      <c r="W125">
        <v>124</v>
      </c>
      <c r="X125" s="6">
        <v>45847</v>
      </c>
      <c r="Y125" s="7" t="s">
        <v>7</v>
      </c>
      <c r="Z125" s="7">
        <v>65.8</v>
      </c>
    </row>
    <row r="126" spans="1:26" x14ac:dyDescent="0.2">
      <c r="A126">
        <v>125</v>
      </c>
      <c r="B126" s="1">
        <v>45483</v>
      </c>
      <c r="C126" t="s">
        <v>7</v>
      </c>
      <c r="D126">
        <v>76.099999999999994</v>
      </c>
      <c r="E126">
        <v>67.900000000000006</v>
      </c>
      <c r="W126">
        <v>125</v>
      </c>
      <c r="X126" s="1">
        <v>45595</v>
      </c>
      <c r="Y126" t="s">
        <v>7</v>
      </c>
      <c r="Z126">
        <v>65.900000000000006</v>
      </c>
    </row>
    <row r="127" spans="1:26" x14ac:dyDescent="0.2">
      <c r="A127">
        <v>126</v>
      </c>
      <c r="B127" s="1">
        <v>45483</v>
      </c>
      <c r="C127" t="s">
        <v>7</v>
      </c>
      <c r="D127">
        <v>58.8</v>
      </c>
      <c r="E127">
        <v>52.5</v>
      </c>
      <c r="W127">
        <v>126</v>
      </c>
      <c r="X127" s="1">
        <v>45609</v>
      </c>
      <c r="Y127" t="s">
        <v>7</v>
      </c>
      <c r="Z127">
        <v>65.900000000000006</v>
      </c>
    </row>
    <row r="128" spans="1:26" x14ac:dyDescent="0.2">
      <c r="A128">
        <v>127</v>
      </c>
      <c r="B128" s="1">
        <v>45483</v>
      </c>
      <c r="C128" t="s">
        <v>7</v>
      </c>
      <c r="D128">
        <v>67.5</v>
      </c>
      <c r="E128">
        <v>60.3</v>
      </c>
      <c r="W128">
        <v>127</v>
      </c>
      <c r="X128" s="1">
        <v>45805</v>
      </c>
      <c r="Y128" t="s">
        <v>7</v>
      </c>
      <c r="Z128">
        <v>66</v>
      </c>
    </row>
    <row r="129" spans="1:26" x14ac:dyDescent="0.2">
      <c r="A129">
        <v>128</v>
      </c>
      <c r="B129" s="1">
        <v>45483</v>
      </c>
      <c r="C129" t="s">
        <v>7</v>
      </c>
      <c r="D129">
        <v>71.7</v>
      </c>
      <c r="E129">
        <v>64</v>
      </c>
      <c r="W129">
        <v>128</v>
      </c>
      <c r="X129" s="1">
        <v>45763</v>
      </c>
      <c r="Y129" t="s">
        <v>7</v>
      </c>
      <c r="Z129">
        <v>66.099999999999994</v>
      </c>
    </row>
    <row r="130" spans="1:26" x14ac:dyDescent="0.2">
      <c r="A130">
        <v>129</v>
      </c>
      <c r="B130" s="1">
        <v>45483</v>
      </c>
      <c r="C130" t="s">
        <v>7</v>
      </c>
      <c r="D130">
        <v>56.5</v>
      </c>
      <c r="E130">
        <v>50.4</v>
      </c>
      <c r="W130">
        <v>129</v>
      </c>
      <c r="X130" s="1">
        <v>44937</v>
      </c>
      <c r="Y130" t="s">
        <v>7</v>
      </c>
      <c r="Z130">
        <v>66.2</v>
      </c>
    </row>
    <row r="131" spans="1:26" x14ac:dyDescent="0.2">
      <c r="A131">
        <v>130</v>
      </c>
      <c r="B131" s="1">
        <v>45483</v>
      </c>
      <c r="C131" t="s">
        <v>7</v>
      </c>
      <c r="D131">
        <v>68.2</v>
      </c>
      <c r="E131">
        <v>60.9</v>
      </c>
      <c r="W131">
        <v>130</v>
      </c>
      <c r="X131" s="1">
        <v>45847</v>
      </c>
      <c r="Y131" t="s">
        <v>7</v>
      </c>
      <c r="Z131">
        <v>66.2</v>
      </c>
    </row>
    <row r="132" spans="1:26" x14ac:dyDescent="0.2">
      <c r="A132">
        <v>131</v>
      </c>
      <c r="B132" s="1">
        <v>45483</v>
      </c>
      <c r="C132" t="s">
        <v>7</v>
      </c>
      <c r="D132">
        <v>73.099999999999994</v>
      </c>
      <c r="E132">
        <v>65.3</v>
      </c>
      <c r="W132">
        <v>131</v>
      </c>
      <c r="X132" s="1">
        <v>44953</v>
      </c>
      <c r="Y132" t="s">
        <v>7</v>
      </c>
      <c r="Z132">
        <v>66.3</v>
      </c>
    </row>
    <row r="133" spans="1:26" x14ac:dyDescent="0.2">
      <c r="A133">
        <v>132</v>
      </c>
      <c r="B133" s="1">
        <v>45483</v>
      </c>
      <c r="C133" t="s">
        <v>7</v>
      </c>
      <c r="D133">
        <v>72</v>
      </c>
      <c r="E133">
        <v>64.3</v>
      </c>
      <c r="W133">
        <v>132</v>
      </c>
      <c r="X133" s="1">
        <v>45553</v>
      </c>
      <c r="Y133" t="s">
        <v>7</v>
      </c>
      <c r="Z133">
        <v>66.3</v>
      </c>
    </row>
    <row r="134" spans="1:26" x14ac:dyDescent="0.2">
      <c r="A134">
        <v>133</v>
      </c>
      <c r="B134" s="1">
        <v>45483</v>
      </c>
      <c r="C134" t="s">
        <v>7</v>
      </c>
      <c r="D134">
        <v>75.5</v>
      </c>
      <c r="E134">
        <v>67.400000000000006</v>
      </c>
      <c r="W134">
        <v>133</v>
      </c>
      <c r="X134" s="1">
        <v>45987</v>
      </c>
      <c r="Y134" t="s">
        <v>7</v>
      </c>
      <c r="Z134">
        <v>66.3</v>
      </c>
    </row>
    <row r="135" spans="1:26" x14ac:dyDescent="0.2">
      <c r="A135">
        <v>134</v>
      </c>
      <c r="B135" s="1">
        <v>45483</v>
      </c>
      <c r="C135" t="s">
        <v>7</v>
      </c>
      <c r="D135">
        <v>64.3</v>
      </c>
      <c r="E135">
        <v>57.4</v>
      </c>
      <c r="W135">
        <v>134</v>
      </c>
      <c r="X135" s="1">
        <v>45315</v>
      </c>
      <c r="Y135" t="s">
        <v>7</v>
      </c>
      <c r="Z135">
        <v>66.5</v>
      </c>
    </row>
    <row r="136" spans="1:26" ht="17" thickBot="1" x14ac:dyDescent="0.25">
      <c r="A136">
        <v>135</v>
      </c>
      <c r="B136" s="12">
        <v>45483</v>
      </c>
      <c r="C136" s="13" t="s">
        <v>7</v>
      </c>
      <c r="D136" s="13">
        <v>69.400000000000006</v>
      </c>
      <c r="E136" s="13">
        <v>62</v>
      </c>
      <c r="W136">
        <v>135</v>
      </c>
      <c r="X136" s="12">
        <v>45553</v>
      </c>
      <c r="Y136" s="13" t="s">
        <v>7</v>
      </c>
      <c r="Z136" s="13">
        <v>66.599999999999994</v>
      </c>
    </row>
    <row r="137" spans="1:26" x14ac:dyDescent="0.2">
      <c r="A137">
        <v>136</v>
      </c>
      <c r="B137" s="1">
        <v>45518</v>
      </c>
      <c r="C137" t="s">
        <v>7</v>
      </c>
      <c r="D137">
        <v>37.5</v>
      </c>
      <c r="E137">
        <v>33.5</v>
      </c>
      <c r="W137">
        <v>136</v>
      </c>
      <c r="X137" s="1">
        <v>45665</v>
      </c>
      <c r="Y137" t="s">
        <v>7</v>
      </c>
      <c r="Z137">
        <v>66.599999999999994</v>
      </c>
    </row>
    <row r="138" spans="1:26" x14ac:dyDescent="0.2">
      <c r="A138">
        <v>137</v>
      </c>
      <c r="B138" s="1">
        <v>45518</v>
      </c>
      <c r="C138" t="s">
        <v>7</v>
      </c>
      <c r="D138">
        <v>70.2</v>
      </c>
      <c r="E138">
        <v>62.7</v>
      </c>
      <c r="W138">
        <v>137</v>
      </c>
      <c r="X138" s="1">
        <v>45777</v>
      </c>
      <c r="Y138" t="s">
        <v>7</v>
      </c>
      <c r="Z138">
        <v>66.599999999999994</v>
      </c>
    </row>
    <row r="139" spans="1:26" x14ac:dyDescent="0.2">
      <c r="A139">
        <v>138</v>
      </c>
      <c r="B139" s="1">
        <v>45518</v>
      </c>
      <c r="C139" t="s">
        <v>7</v>
      </c>
      <c r="D139">
        <v>59.5</v>
      </c>
      <c r="E139">
        <v>66.599999999999994</v>
      </c>
      <c r="W139">
        <v>138</v>
      </c>
      <c r="X139" s="1">
        <v>45791</v>
      </c>
      <c r="Y139" t="s">
        <v>7</v>
      </c>
      <c r="Z139">
        <v>66.599999999999994</v>
      </c>
    </row>
    <row r="140" spans="1:26" x14ac:dyDescent="0.2">
      <c r="A140">
        <v>139</v>
      </c>
      <c r="B140" s="1">
        <v>45518</v>
      </c>
      <c r="C140" t="s">
        <v>7</v>
      </c>
      <c r="D140">
        <v>56.1</v>
      </c>
      <c r="E140">
        <v>50.1</v>
      </c>
      <c r="W140">
        <v>139</v>
      </c>
      <c r="X140" s="1">
        <v>45581</v>
      </c>
      <c r="Y140" t="s">
        <v>7</v>
      </c>
      <c r="Z140">
        <v>66.7</v>
      </c>
    </row>
    <row r="141" spans="1:26" x14ac:dyDescent="0.2">
      <c r="A141">
        <v>140</v>
      </c>
      <c r="B141" s="1">
        <v>45518</v>
      </c>
      <c r="C141" t="s">
        <v>7</v>
      </c>
      <c r="D141">
        <v>46.3</v>
      </c>
      <c r="E141">
        <v>41.3</v>
      </c>
      <c r="W141">
        <v>140</v>
      </c>
      <c r="X141" s="1">
        <v>45210</v>
      </c>
      <c r="Y141" t="s">
        <v>7</v>
      </c>
      <c r="Z141">
        <v>66.900000000000006</v>
      </c>
    </row>
    <row r="142" spans="1:26" x14ac:dyDescent="0.2">
      <c r="A142">
        <v>141</v>
      </c>
      <c r="B142" s="1">
        <v>45518</v>
      </c>
      <c r="C142" t="s">
        <v>7</v>
      </c>
      <c r="D142">
        <v>52.4</v>
      </c>
      <c r="E142">
        <v>46.8</v>
      </c>
      <c r="W142">
        <v>141</v>
      </c>
      <c r="X142" s="1">
        <v>45665</v>
      </c>
      <c r="Y142" t="s">
        <v>7</v>
      </c>
      <c r="Z142">
        <v>66.900000000000006</v>
      </c>
    </row>
    <row r="143" spans="1:26" x14ac:dyDescent="0.2">
      <c r="A143">
        <v>142</v>
      </c>
      <c r="B143" s="1">
        <v>45518</v>
      </c>
      <c r="C143" t="s">
        <v>7</v>
      </c>
      <c r="D143">
        <v>69.400000000000006</v>
      </c>
      <c r="E143">
        <v>62</v>
      </c>
      <c r="W143">
        <v>142</v>
      </c>
      <c r="X143" s="1">
        <v>45735</v>
      </c>
      <c r="Y143" t="s">
        <v>7</v>
      </c>
      <c r="Z143">
        <v>66.900000000000006</v>
      </c>
    </row>
    <row r="144" spans="1:26" x14ac:dyDescent="0.2">
      <c r="A144">
        <v>143</v>
      </c>
      <c r="B144" s="1">
        <v>45518</v>
      </c>
      <c r="C144" t="s">
        <v>7</v>
      </c>
      <c r="D144">
        <v>55.6</v>
      </c>
      <c r="E144">
        <v>49.6</v>
      </c>
      <c r="W144">
        <v>143</v>
      </c>
      <c r="X144" s="1">
        <v>45581</v>
      </c>
      <c r="Y144" t="s">
        <v>7</v>
      </c>
      <c r="Z144">
        <v>67</v>
      </c>
    </row>
    <row r="145" spans="1:26" ht="17" thickBot="1" x14ac:dyDescent="0.25">
      <c r="A145">
        <v>144</v>
      </c>
      <c r="B145" s="12">
        <v>45518</v>
      </c>
      <c r="C145" s="13" t="s">
        <v>7</v>
      </c>
      <c r="D145" s="13">
        <v>80.599999999999994</v>
      </c>
      <c r="E145" s="13">
        <v>72</v>
      </c>
      <c r="W145">
        <v>144</v>
      </c>
      <c r="X145" s="12">
        <v>45581</v>
      </c>
      <c r="Y145" s="13" t="s">
        <v>7</v>
      </c>
      <c r="Z145" s="13">
        <v>67</v>
      </c>
    </row>
    <row r="146" spans="1:26" x14ac:dyDescent="0.2">
      <c r="A146">
        <v>145</v>
      </c>
      <c r="B146" s="6">
        <v>45553</v>
      </c>
      <c r="C146" s="7" t="s">
        <v>7</v>
      </c>
      <c r="D146" s="7">
        <v>92.7</v>
      </c>
      <c r="E146" s="7">
        <v>82.8</v>
      </c>
      <c r="W146">
        <v>145</v>
      </c>
      <c r="X146" s="6">
        <v>45945</v>
      </c>
      <c r="Y146" s="7" t="s">
        <v>7</v>
      </c>
      <c r="Z146" s="7">
        <v>67.099999999999994</v>
      </c>
    </row>
    <row r="147" spans="1:26" x14ac:dyDescent="0.2">
      <c r="A147">
        <v>146</v>
      </c>
      <c r="B147" s="1">
        <v>45553</v>
      </c>
      <c r="C147" t="s">
        <v>7</v>
      </c>
      <c r="D147">
        <v>82.3</v>
      </c>
      <c r="E147">
        <v>73.5</v>
      </c>
      <c r="W147">
        <v>146</v>
      </c>
      <c r="X147" s="1">
        <v>44958</v>
      </c>
      <c r="Y147" t="s">
        <v>7</v>
      </c>
      <c r="Z147">
        <v>67.5</v>
      </c>
    </row>
    <row r="148" spans="1:26" x14ac:dyDescent="0.2">
      <c r="A148">
        <v>147</v>
      </c>
      <c r="B148" s="1">
        <v>45553</v>
      </c>
      <c r="C148" t="s">
        <v>7</v>
      </c>
      <c r="D148">
        <v>56</v>
      </c>
      <c r="E148">
        <v>50</v>
      </c>
      <c r="W148">
        <v>147</v>
      </c>
      <c r="X148" s="1">
        <v>45315</v>
      </c>
      <c r="Y148" t="s">
        <v>7</v>
      </c>
      <c r="Z148">
        <v>67.5</v>
      </c>
    </row>
    <row r="149" spans="1:26" x14ac:dyDescent="0.2">
      <c r="A149">
        <v>148</v>
      </c>
      <c r="B149" s="1">
        <v>45553</v>
      </c>
      <c r="C149" t="s">
        <v>7</v>
      </c>
      <c r="D149">
        <v>75.2</v>
      </c>
      <c r="E149">
        <v>67.099999999999994</v>
      </c>
      <c r="W149">
        <v>148</v>
      </c>
      <c r="X149" s="1">
        <v>45483</v>
      </c>
      <c r="Y149" t="s">
        <v>7</v>
      </c>
      <c r="Z149">
        <v>67.5</v>
      </c>
    </row>
    <row r="150" spans="1:26" x14ac:dyDescent="0.2">
      <c r="A150">
        <v>149</v>
      </c>
      <c r="B150" s="1">
        <v>45553</v>
      </c>
      <c r="C150" t="s">
        <v>7</v>
      </c>
      <c r="D150">
        <v>42.9</v>
      </c>
      <c r="E150">
        <v>38.299999999999997</v>
      </c>
      <c r="W150">
        <v>149</v>
      </c>
      <c r="X150" s="1">
        <v>45637</v>
      </c>
      <c r="Y150" t="s">
        <v>7</v>
      </c>
      <c r="Z150">
        <v>67.599999999999994</v>
      </c>
    </row>
    <row r="151" spans="1:26" x14ac:dyDescent="0.2">
      <c r="A151">
        <v>150</v>
      </c>
      <c r="B151" s="1">
        <v>45553</v>
      </c>
      <c r="C151" t="s">
        <v>7</v>
      </c>
      <c r="D151">
        <v>60.7</v>
      </c>
      <c r="E151">
        <v>54.2</v>
      </c>
      <c r="W151">
        <v>150</v>
      </c>
      <c r="X151" s="1">
        <v>45973</v>
      </c>
      <c r="Y151" t="s">
        <v>7</v>
      </c>
      <c r="Z151">
        <v>67.7</v>
      </c>
    </row>
    <row r="152" spans="1:26" x14ac:dyDescent="0.2">
      <c r="A152">
        <v>151</v>
      </c>
      <c r="B152" s="1">
        <v>45553</v>
      </c>
      <c r="C152" t="s">
        <v>7</v>
      </c>
      <c r="D152">
        <v>63.6</v>
      </c>
      <c r="E152">
        <v>56.8</v>
      </c>
      <c r="W152">
        <v>151</v>
      </c>
      <c r="X152" s="1">
        <v>45609</v>
      </c>
      <c r="Y152" t="s">
        <v>7</v>
      </c>
      <c r="Z152">
        <v>67.8</v>
      </c>
    </row>
    <row r="153" spans="1:26" x14ac:dyDescent="0.2">
      <c r="A153">
        <v>152</v>
      </c>
      <c r="B153" s="1">
        <v>45553</v>
      </c>
      <c r="C153" t="s">
        <v>7</v>
      </c>
      <c r="D153">
        <v>68.3</v>
      </c>
      <c r="E153">
        <v>61</v>
      </c>
      <c r="W153">
        <v>152</v>
      </c>
      <c r="X153" s="1">
        <v>45777</v>
      </c>
      <c r="Y153" t="s">
        <v>7</v>
      </c>
      <c r="Z153">
        <v>67.8</v>
      </c>
    </row>
    <row r="154" spans="1:26" x14ac:dyDescent="0.2">
      <c r="A154">
        <v>153</v>
      </c>
      <c r="B154" s="1">
        <v>45553</v>
      </c>
      <c r="C154" t="s">
        <v>7</v>
      </c>
      <c r="D154">
        <v>71.5</v>
      </c>
      <c r="E154">
        <v>63.8</v>
      </c>
      <c r="W154">
        <v>153</v>
      </c>
      <c r="X154" s="1">
        <v>44953</v>
      </c>
      <c r="Y154" t="s">
        <v>7</v>
      </c>
      <c r="Z154">
        <v>68</v>
      </c>
    </row>
    <row r="155" spans="1:26" x14ac:dyDescent="0.2">
      <c r="A155">
        <v>154</v>
      </c>
      <c r="B155" s="1">
        <v>45553</v>
      </c>
      <c r="C155" t="s">
        <v>7</v>
      </c>
      <c r="D155">
        <v>72.599999999999994</v>
      </c>
      <c r="E155">
        <v>64.8</v>
      </c>
      <c r="W155">
        <v>154</v>
      </c>
      <c r="X155" s="1">
        <v>45483</v>
      </c>
      <c r="Y155" t="s">
        <v>7</v>
      </c>
      <c r="Z155">
        <v>68.2</v>
      </c>
    </row>
    <row r="156" spans="1:26" x14ac:dyDescent="0.2">
      <c r="A156">
        <v>155</v>
      </c>
      <c r="B156" s="1">
        <v>45553</v>
      </c>
      <c r="C156" t="s">
        <v>7</v>
      </c>
      <c r="D156">
        <v>71.5</v>
      </c>
      <c r="E156">
        <v>63.8</v>
      </c>
      <c r="W156">
        <v>155</v>
      </c>
      <c r="X156" s="1">
        <v>45553</v>
      </c>
      <c r="Y156" t="s">
        <v>7</v>
      </c>
      <c r="Z156">
        <v>68.3</v>
      </c>
    </row>
    <row r="157" spans="1:26" x14ac:dyDescent="0.2">
      <c r="A157">
        <v>156</v>
      </c>
      <c r="B157" s="1">
        <v>45553</v>
      </c>
      <c r="C157" t="s">
        <v>7</v>
      </c>
      <c r="D157">
        <v>78</v>
      </c>
      <c r="E157">
        <v>69.599999999999994</v>
      </c>
      <c r="W157">
        <v>156</v>
      </c>
      <c r="X157" s="1">
        <v>44916</v>
      </c>
      <c r="Y157" t="s">
        <v>7</v>
      </c>
      <c r="Z157">
        <v>68.5</v>
      </c>
    </row>
    <row r="158" spans="1:26" x14ac:dyDescent="0.2">
      <c r="A158">
        <v>157</v>
      </c>
      <c r="B158" s="1">
        <v>45553</v>
      </c>
      <c r="C158" t="s">
        <v>7</v>
      </c>
      <c r="D158">
        <v>68.7</v>
      </c>
      <c r="E158">
        <v>61.3</v>
      </c>
      <c r="W158">
        <v>157</v>
      </c>
      <c r="X158" s="1">
        <v>45595</v>
      </c>
      <c r="Y158" t="s">
        <v>7</v>
      </c>
      <c r="Z158">
        <v>68.5</v>
      </c>
    </row>
    <row r="159" spans="1:26" x14ac:dyDescent="0.2">
      <c r="A159">
        <v>158</v>
      </c>
      <c r="B159" s="1">
        <v>45553</v>
      </c>
      <c r="C159" t="s">
        <v>7</v>
      </c>
      <c r="D159">
        <v>66.3</v>
      </c>
      <c r="E159">
        <v>59.2</v>
      </c>
      <c r="W159">
        <v>158</v>
      </c>
      <c r="X159" s="1">
        <v>45623</v>
      </c>
      <c r="Y159" t="s">
        <v>7</v>
      </c>
      <c r="Z159">
        <v>68.5</v>
      </c>
    </row>
    <row r="160" spans="1:26" x14ac:dyDescent="0.2">
      <c r="A160">
        <v>159</v>
      </c>
      <c r="B160" s="1">
        <v>45553</v>
      </c>
      <c r="C160" t="s">
        <v>7</v>
      </c>
      <c r="D160">
        <v>60.8</v>
      </c>
      <c r="E160">
        <v>54.3</v>
      </c>
      <c r="W160">
        <v>159</v>
      </c>
      <c r="X160" s="1">
        <v>45917</v>
      </c>
      <c r="Y160" t="s">
        <v>7</v>
      </c>
      <c r="Z160">
        <v>68.5</v>
      </c>
    </row>
    <row r="161" spans="1:26" x14ac:dyDescent="0.2">
      <c r="A161">
        <v>160</v>
      </c>
      <c r="B161" s="1">
        <v>45553</v>
      </c>
      <c r="C161" t="s">
        <v>7</v>
      </c>
      <c r="D161">
        <v>66.599999999999994</v>
      </c>
      <c r="E161">
        <v>59.5</v>
      </c>
      <c r="W161">
        <v>160</v>
      </c>
      <c r="X161" s="1">
        <v>44958</v>
      </c>
      <c r="Y161" t="s">
        <v>7</v>
      </c>
      <c r="Z161">
        <v>68.7</v>
      </c>
    </row>
    <row r="162" spans="1:26" ht="17" thickBot="1" x14ac:dyDescent="0.25">
      <c r="A162">
        <v>161</v>
      </c>
      <c r="B162" s="12">
        <v>45553</v>
      </c>
      <c r="C162" s="13" t="s">
        <v>7</v>
      </c>
      <c r="D162" s="13">
        <v>64.900000000000006</v>
      </c>
      <c r="E162" s="13">
        <v>57.9</v>
      </c>
      <c r="W162">
        <v>161</v>
      </c>
      <c r="X162" s="12">
        <v>45553</v>
      </c>
      <c r="Y162" s="13" t="s">
        <v>7</v>
      </c>
      <c r="Z162" s="13">
        <v>68.7</v>
      </c>
    </row>
    <row r="163" spans="1:26" x14ac:dyDescent="0.2">
      <c r="A163">
        <v>162</v>
      </c>
      <c r="B163" s="6">
        <v>45567</v>
      </c>
      <c r="C163" s="7" t="s">
        <v>7</v>
      </c>
      <c r="D163" s="7">
        <v>63.4</v>
      </c>
      <c r="E163" s="7">
        <v>56.6</v>
      </c>
      <c r="W163">
        <v>162</v>
      </c>
      <c r="X163" s="6">
        <v>45721</v>
      </c>
      <c r="Y163" s="7" t="s">
        <v>7</v>
      </c>
      <c r="Z163" s="7">
        <v>68.7</v>
      </c>
    </row>
    <row r="164" spans="1:26" x14ac:dyDescent="0.2">
      <c r="A164">
        <v>163</v>
      </c>
      <c r="B164" s="1">
        <v>45567</v>
      </c>
      <c r="C164" t="s">
        <v>7</v>
      </c>
      <c r="D164">
        <v>52.3</v>
      </c>
      <c r="E164">
        <v>46.7</v>
      </c>
      <c r="W164">
        <v>163</v>
      </c>
      <c r="X164" s="1">
        <v>46113</v>
      </c>
      <c r="Y164" t="s">
        <v>593</v>
      </c>
      <c r="Z164">
        <v>68.8</v>
      </c>
    </row>
    <row r="165" spans="1:26" x14ac:dyDescent="0.2">
      <c r="A165">
        <v>164</v>
      </c>
      <c r="B165" s="1">
        <v>45567</v>
      </c>
      <c r="C165" t="s">
        <v>7</v>
      </c>
      <c r="D165">
        <v>56.6</v>
      </c>
      <c r="E165">
        <v>50.5</v>
      </c>
      <c r="W165">
        <v>164</v>
      </c>
      <c r="X165" s="1">
        <v>45623</v>
      </c>
      <c r="Y165" t="s">
        <v>7</v>
      </c>
      <c r="Z165">
        <v>68.900000000000006</v>
      </c>
    </row>
    <row r="166" spans="1:26" x14ac:dyDescent="0.2">
      <c r="A166">
        <v>165</v>
      </c>
      <c r="B166" s="1">
        <v>45567</v>
      </c>
      <c r="C166" t="s">
        <v>7</v>
      </c>
      <c r="D166">
        <v>81.400000000000006</v>
      </c>
      <c r="E166">
        <v>72.7</v>
      </c>
      <c r="W166">
        <v>165</v>
      </c>
      <c r="X166" s="1">
        <v>45637</v>
      </c>
      <c r="Y166" t="s">
        <v>7</v>
      </c>
      <c r="Z166">
        <v>68.900000000000006</v>
      </c>
    </row>
    <row r="167" spans="1:26" x14ac:dyDescent="0.2">
      <c r="A167">
        <v>166</v>
      </c>
      <c r="B167" s="1">
        <v>45567</v>
      </c>
      <c r="C167" t="s">
        <v>7</v>
      </c>
      <c r="D167">
        <v>73.2</v>
      </c>
      <c r="E167">
        <v>65.3</v>
      </c>
      <c r="W167">
        <v>166</v>
      </c>
      <c r="X167" s="1">
        <v>45462</v>
      </c>
      <c r="Y167" t="s">
        <v>7</v>
      </c>
      <c r="Z167">
        <v>69</v>
      </c>
    </row>
    <row r="168" spans="1:26" x14ac:dyDescent="0.2">
      <c r="A168">
        <v>167</v>
      </c>
      <c r="B168" s="1">
        <v>45567</v>
      </c>
      <c r="C168" t="s">
        <v>7</v>
      </c>
      <c r="D168">
        <v>80</v>
      </c>
      <c r="E168">
        <v>71.400000000000006</v>
      </c>
      <c r="W168">
        <v>167</v>
      </c>
      <c r="X168" s="1">
        <v>45749</v>
      </c>
      <c r="Y168" s="20" t="s">
        <v>7</v>
      </c>
      <c r="Z168">
        <v>69</v>
      </c>
    </row>
    <row r="169" spans="1:26" x14ac:dyDescent="0.2">
      <c r="A169">
        <v>168</v>
      </c>
      <c r="B169" s="1">
        <v>45567</v>
      </c>
      <c r="C169" t="s">
        <v>7</v>
      </c>
      <c r="D169">
        <v>53.4</v>
      </c>
      <c r="E169">
        <v>47.7</v>
      </c>
      <c r="W169">
        <v>168</v>
      </c>
      <c r="X169" s="1">
        <v>46113</v>
      </c>
      <c r="Y169" t="s">
        <v>7</v>
      </c>
      <c r="Z169">
        <v>69.099999999999994</v>
      </c>
    </row>
    <row r="170" spans="1:26" x14ac:dyDescent="0.2">
      <c r="A170">
        <v>169</v>
      </c>
      <c r="B170" s="1">
        <v>45567</v>
      </c>
      <c r="C170" t="s">
        <v>7</v>
      </c>
      <c r="D170">
        <v>70.5</v>
      </c>
      <c r="E170">
        <v>62.9</v>
      </c>
      <c r="W170">
        <v>169</v>
      </c>
      <c r="X170" s="1">
        <v>45609</v>
      </c>
      <c r="Y170" t="s">
        <v>7</v>
      </c>
      <c r="Z170">
        <v>69.2</v>
      </c>
    </row>
    <row r="171" spans="1:26" x14ac:dyDescent="0.2">
      <c r="A171">
        <v>170</v>
      </c>
      <c r="B171" s="1">
        <v>45567</v>
      </c>
      <c r="C171" t="s">
        <v>7</v>
      </c>
      <c r="D171">
        <v>80.099999999999994</v>
      </c>
      <c r="E171">
        <v>71.5</v>
      </c>
      <c r="W171">
        <v>170</v>
      </c>
      <c r="X171" s="1">
        <v>44916</v>
      </c>
      <c r="Y171" t="s">
        <v>7</v>
      </c>
      <c r="Z171">
        <v>69.3</v>
      </c>
    </row>
    <row r="172" spans="1:26" x14ac:dyDescent="0.2">
      <c r="A172">
        <v>171</v>
      </c>
      <c r="B172" s="1">
        <v>45567</v>
      </c>
      <c r="C172" t="s">
        <v>7</v>
      </c>
      <c r="D172">
        <v>83</v>
      </c>
      <c r="E172">
        <v>74.099999999999994</v>
      </c>
      <c r="W172">
        <v>171</v>
      </c>
      <c r="X172" s="1">
        <v>44958</v>
      </c>
      <c r="Y172" t="s">
        <v>7</v>
      </c>
      <c r="Z172">
        <v>69.3</v>
      </c>
    </row>
    <row r="173" spans="1:26" x14ac:dyDescent="0.2">
      <c r="A173">
        <v>172</v>
      </c>
      <c r="B173" s="1">
        <v>45567</v>
      </c>
      <c r="C173" t="s">
        <v>7</v>
      </c>
      <c r="D173">
        <v>79</v>
      </c>
      <c r="E173">
        <v>70.5</v>
      </c>
      <c r="W173">
        <v>172</v>
      </c>
      <c r="X173" s="1">
        <v>45462</v>
      </c>
      <c r="Y173" t="s">
        <v>7</v>
      </c>
      <c r="Z173">
        <v>69.400000000000006</v>
      </c>
    </row>
    <row r="174" spans="1:26" ht="17" thickBot="1" x14ac:dyDescent="0.25">
      <c r="A174">
        <v>173</v>
      </c>
      <c r="B174" s="12">
        <v>45567</v>
      </c>
      <c r="C174" s="13" t="s">
        <v>7</v>
      </c>
      <c r="D174" s="13">
        <v>93.3</v>
      </c>
      <c r="E174" s="13">
        <v>83.3</v>
      </c>
      <c r="W174">
        <v>173</v>
      </c>
      <c r="X174" s="1">
        <v>45483</v>
      </c>
      <c r="Y174" t="s">
        <v>7</v>
      </c>
      <c r="Z174">
        <v>69.400000000000006</v>
      </c>
    </row>
    <row r="175" spans="1:26" x14ac:dyDescent="0.2">
      <c r="A175">
        <v>174</v>
      </c>
      <c r="B175" s="1">
        <v>45581</v>
      </c>
      <c r="C175" t="s">
        <v>7</v>
      </c>
      <c r="D175">
        <v>48.4</v>
      </c>
      <c r="E175">
        <v>43.2</v>
      </c>
      <c r="W175">
        <v>174</v>
      </c>
      <c r="X175" s="1">
        <v>45518</v>
      </c>
      <c r="Y175" t="s">
        <v>7</v>
      </c>
      <c r="Z175">
        <v>69.400000000000006</v>
      </c>
    </row>
    <row r="176" spans="1:26" x14ac:dyDescent="0.2">
      <c r="A176">
        <v>175</v>
      </c>
      <c r="B176" s="1">
        <v>45581</v>
      </c>
      <c r="C176" t="s">
        <v>7</v>
      </c>
      <c r="D176">
        <v>63.5</v>
      </c>
      <c r="E176">
        <v>56.7</v>
      </c>
      <c r="W176">
        <v>175</v>
      </c>
      <c r="X176" s="1">
        <v>45595</v>
      </c>
      <c r="Y176" t="s">
        <v>7</v>
      </c>
      <c r="Z176">
        <v>69.400000000000006</v>
      </c>
    </row>
    <row r="177" spans="1:26" x14ac:dyDescent="0.2">
      <c r="A177">
        <v>176</v>
      </c>
      <c r="B177" s="1">
        <v>45581</v>
      </c>
      <c r="C177" t="s">
        <v>7</v>
      </c>
      <c r="D177">
        <v>62.9</v>
      </c>
      <c r="E177">
        <v>56.2</v>
      </c>
      <c r="W177">
        <v>176</v>
      </c>
      <c r="X177" s="1">
        <v>45721</v>
      </c>
      <c r="Y177" t="s">
        <v>7</v>
      </c>
      <c r="Z177">
        <v>69.400000000000006</v>
      </c>
    </row>
    <row r="178" spans="1:26" x14ac:dyDescent="0.2">
      <c r="A178">
        <v>177</v>
      </c>
      <c r="B178" s="1">
        <v>45581</v>
      </c>
      <c r="C178" t="s">
        <v>7</v>
      </c>
      <c r="D178">
        <v>55.1</v>
      </c>
      <c r="E178">
        <v>49.2</v>
      </c>
      <c r="W178">
        <v>177</v>
      </c>
      <c r="X178" s="1">
        <v>44909</v>
      </c>
      <c r="Y178" t="s">
        <v>7</v>
      </c>
      <c r="Z178">
        <v>69.5</v>
      </c>
    </row>
    <row r="179" spans="1:26" x14ac:dyDescent="0.2">
      <c r="A179">
        <v>178</v>
      </c>
      <c r="B179" s="1">
        <v>45581</v>
      </c>
      <c r="C179" t="s">
        <v>7</v>
      </c>
      <c r="D179">
        <v>49.6</v>
      </c>
      <c r="E179">
        <v>44.3</v>
      </c>
      <c r="W179">
        <v>178</v>
      </c>
      <c r="X179" s="1">
        <v>45847</v>
      </c>
      <c r="Y179" t="s">
        <v>7</v>
      </c>
      <c r="Z179">
        <v>69.5</v>
      </c>
    </row>
    <row r="180" spans="1:26" x14ac:dyDescent="0.2">
      <c r="A180">
        <v>179</v>
      </c>
      <c r="B180" s="1">
        <v>45581</v>
      </c>
      <c r="C180" t="s">
        <v>7</v>
      </c>
      <c r="D180">
        <v>67</v>
      </c>
      <c r="E180">
        <v>59.8</v>
      </c>
      <c r="W180">
        <v>179</v>
      </c>
      <c r="X180" s="1">
        <v>45987</v>
      </c>
      <c r="Y180" t="s">
        <v>7</v>
      </c>
      <c r="Z180">
        <v>69.5</v>
      </c>
    </row>
    <row r="181" spans="1:26" x14ac:dyDescent="0.2">
      <c r="A181">
        <v>180</v>
      </c>
      <c r="B181" s="1">
        <v>45581</v>
      </c>
      <c r="C181" t="s">
        <v>7</v>
      </c>
      <c r="D181">
        <v>67</v>
      </c>
      <c r="E181">
        <v>59.8</v>
      </c>
      <c r="W181">
        <v>180</v>
      </c>
      <c r="X181" s="1">
        <v>45609</v>
      </c>
      <c r="Y181" t="s">
        <v>7</v>
      </c>
      <c r="Z181">
        <v>69.599999999999994</v>
      </c>
    </row>
    <row r="182" spans="1:26" ht="17" thickBot="1" x14ac:dyDescent="0.25">
      <c r="A182">
        <v>181</v>
      </c>
      <c r="B182" s="12">
        <v>45581</v>
      </c>
      <c r="C182" s="13" t="s">
        <v>7</v>
      </c>
      <c r="D182" s="13">
        <v>66.7</v>
      </c>
      <c r="E182" s="13">
        <v>59.5</v>
      </c>
      <c r="W182">
        <v>181</v>
      </c>
      <c r="X182" s="12">
        <v>44872</v>
      </c>
      <c r="Y182" s="13" t="s">
        <v>7</v>
      </c>
      <c r="Z182" s="13">
        <v>69.7</v>
      </c>
    </row>
    <row r="183" spans="1:26" x14ac:dyDescent="0.2">
      <c r="A183">
        <v>182</v>
      </c>
      <c r="B183" s="1">
        <v>45595</v>
      </c>
      <c r="C183" t="s">
        <v>7</v>
      </c>
      <c r="D183">
        <v>72.2</v>
      </c>
      <c r="E183">
        <v>64.5</v>
      </c>
      <c r="W183">
        <v>182</v>
      </c>
      <c r="X183" s="1">
        <v>45847</v>
      </c>
      <c r="Y183" t="s">
        <v>7</v>
      </c>
      <c r="Z183">
        <v>69.7</v>
      </c>
    </row>
    <row r="184" spans="1:26" x14ac:dyDescent="0.2">
      <c r="A184">
        <v>183</v>
      </c>
      <c r="B184" s="1">
        <v>45595</v>
      </c>
      <c r="C184" t="s">
        <v>7</v>
      </c>
      <c r="D184">
        <v>72.5</v>
      </c>
      <c r="E184">
        <v>64.7</v>
      </c>
      <c r="W184">
        <v>183</v>
      </c>
      <c r="X184" s="1">
        <v>45693</v>
      </c>
      <c r="Y184" t="s">
        <v>7</v>
      </c>
      <c r="Z184">
        <v>69.8</v>
      </c>
    </row>
    <row r="185" spans="1:26" x14ac:dyDescent="0.2">
      <c r="A185">
        <v>184</v>
      </c>
      <c r="B185" s="1">
        <v>45595</v>
      </c>
      <c r="C185" t="s">
        <v>7</v>
      </c>
      <c r="D185">
        <v>83</v>
      </c>
      <c r="E185">
        <v>74.099999999999994</v>
      </c>
      <c r="W185">
        <v>184</v>
      </c>
      <c r="X185" s="1">
        <v>45210</v>
      </c>
      <c r="Y185" t="s">
        <v>7</v>
      </c>
      <c r="Z185">
        <v>69.900000000000006</v>
      </c>
    </row>
    <row r="186" spans="1:26" x14ac:dyDescent="0.2">
      <c r="A186">
        <v>185</v>
      </c>
      <c r="B186" s="1">
        <v>45595</v>
      </c>
      <c r="C186" t="s">
        <v>7</v>
      </c>
      <c r="D186">
        <v>76.3</v>
      </c>
      <c r="E186">
        <v>68.099999999999994</v>
      </c>
      <c r="W186">
        <v>185</v>
      </c>
      <c r="X186" s="1">
        <v>45210</v>
      </c>
      <c r="Y186" t="s">
        <v>7</v>
      </c>
      <c r="Z186">
        <v>69.900000000000006</v>
      </c>
    </row>
    <row r="187" spans="1:26" x14ac:dyDescent="0.2">
      <c r="A187">
        <v>186</v>
      </c>
      <c r="B187" s="1">
        <v>45595</v>
      </c>
      <c r="C187" t="s">
        <v>7</v>
      </c>
      <c r="D187">
        <v>76.900000000000006</v>
      </c>
      <c r="E187">
        <v>68.7</v>
      </c>
      <c r="W187">
        <v>186</v>
      </c>
      <c r="X187" s="1">
        <v>45931</v>
      </c>
      <c r="Y187" t="s">
        <v>7</v>
      </c>
      <c r="Z187">
        <v>69.900000000000006</v>
      </c>
    </row>
    <row r="188" spans="1:26" x14ac:dyDescent="0.2">
      <c r="A188">
        <v>187</v>
      </c>
      <c r="B188" s="1">
        <v>45595</v>
      </c>
      <c r="C188" t="s">
        <v>7</v>
      </c>
      <c r="D188">
        <v>69.400000000000006</v>
      </c>
      <c r="E188">
        <v>62</v>
      </c>
      <c r="W188">
        <v>187</v>
      </c>
      <c r="X188" s="1">
        <v>45210</v>
      </c>
      <c r="Y188" t="s">
        <v>7</v>
      </c>
      <c r="Z188">
        <v>70</v>
      </c>
    </row>
    <row r="189" spans="1:26" x14ac:dyDescent="0.2">
      <c r="A189">
        <v>188</v>
      </c>
      <c r="B189" s="1">
        <v>45595</v>
      </c>
      <c r="C189" t="s">
        <v>7</v>
      </c>
      <c r="D189">
        <v>68.5</v>
      </c>
      <c r="E189">
        <v>61.2</v>
      </c>
      <c r="W189">
        <v>188</v>
      </c>
      <c r="X189" s="1">
        <v>44979</v>
      </c>
      <c r="Y189" t="s">
        <v>7</v>
      </c>
      <c r="Z189">
        <v>70.099999999999994</v>
      </c>
    </row>
    <row r="190" spans="1:26" x14ac:dyDescent="0.2">
      <c r="A190">
        <v>189</v>
      </c>
      <c r="B190" s="1">
        <v>45595</v>
      </c>
      <c r="C190" t="s">
        <v>7</v>
      </c>
      <c r="D190">
        <v>65.099999999999994</v>
      </c>
      <c r="E190">
        <v>58.1</v>
      </c>
      <c r="W190">
        <v>189</v>
      </c>
      <c r="X190" s="1">
        <v>45462</v>
      </c>
      <c r="Y190" t="s">
        <v>7</v>
      </c>
      <c r="Z190">
        <v>70.2</v>
      </c>
    </row>
    <row r="191" spans="1:26" x14ac:dyDescent="0.2">
      <c r="A191">
        <v>190</v>
      </c>
      <c r="B191" s="1">
        <v>45595</v>
      </c>
      <c r="C191" t="s">
        <v>7</v>
      </c>
      <c r="D191">
        <v>65.900000000000006</v>
      </c>
      <c r="E191">
        <v>58.8</v>
      </c>
      <c r="W191">
        <v>190</v>
      </c>
      <c r="X191" s="1">
        <v>45518</v>
      </c>
      <c r="Y191" t="s">
        <v>7</v>
      </c>
      <c r="Z191">
        <v>70.2</v>
      </c>
    </row>
    <row r="192" spans="1:26" ht="17" thickBot="1" x14ac:dyDescent="0.25">
      <c r="A192">
        <v>191</v>
      </c>
      <c r="B192" s="12">
        <v>45595</v>
      </c>
      <c r="C192" s="13" t="s">
        <v>7</v>
      </c>
      <c r="D192" s="13">
        <v>63.4</v>
      </c>
      <c r="E192" s="13">
        <v>56.6</v>
      </c>
      <c r="W192">
        <v>191</v>
      </c>
      <c r="X192" s="12">
        <v>45833</v>
      </c>
      <c r="Y192" s="13" t="s">
        <v>7</v>
      </c>
      <c r="Z192" s="13">
        <v>70.2</v>
      </c>
    </row>
    <row r="193" spans="1:26" x14ac:dyDescent="0.2">
      <c r="A193">
        <v>192</v>
      </c>
      <c r="B193" s="1">
        <v>45609</v>
      </c>
      <c r="C193" t="s">
        <v>7</v>
      </c>
      <c r="D193">
        <v>60.7</v>
      </c>
      <c r="E193">
        <v>54.2</v>
      </c>
      <c r="W193">
        <v>192</v>
      </c>
      <c r="X193" s="1">
        <v>45210</v>
      </c>
      <c r="Y193" t="s">
        <v>7</v>
      </c>
      <c r="Z193">
        <v>70.3</v>
      </c>
    </row>
    <row r="194" spans="1:26" x14ac:dyDescent="0.2">
      <c r="A194">
        <v>193</v>
      </c>
      <c r="B194" s="1">
        <v>45609</v>
      </c>
      <c r="C194" t="s">
        <v>7</v>
      </c>
      <c r="D194">
        <v>58.4</v>
      </c>
      <c r="E194">
        <v>52.1</v>
      </c>
      <c r="W194">
        <v>193</v>
      </c>
      <c r="X194" s="1">
        <v>45483</v>
      </c>
      <c r="Y194" t="s">
        <v>7</v>
      </c>
      <c r="Z194">
        <v>70.3</v>
      </c>
    </row>
    <row r="195" spans="1:26" x14ac:dyDescent="0.2">
      <c r="A195">
        <v>194</v>
      </c>
      <c r="B195" s="1">
        <v>45609</v>
      </c>
      <c r="C195" t="s">
        <v>7</v>
      </c>
      <c r="D195">
        <v>67.8</v>
      </c>
      <c r="E195">
        <v>60.5</v>
      </c>
      <c r="W195">
        <v>194</v>
      </c>
      <c r="X195" s="1">
        <v>45352</v>
      </c>
      <c r="Y195" t="s">
        <v>7</v>
      </c>
      <c r="Z195">
        <v>70.400000000000006</v>
      </c>
    </row>
    <row r="196" spans="1:26" x14ac:dyDescent="0.2">
      <c r="A196">
        <v>195</v>
      </c>
      <c r="B196" s="1">
        <v>45609</v>
      </c>
      <c r="C196" t="s">
        <v>7</v>
      </c>
      <c r="D196">
        <v>60.6</v>
      </c>
      <c r="E196">
        <v>54.1</v>
      </c>
      <c r="W196">
        <v>195</v>
      </c>
      <c r="X196" s="1">
        <v>45749</v>
      </c>
      <c r="Y196" t="s">
        <v>7</v>
      </c>
      <c r="Z196">
        <v>70.400000000000006</v>
      </c>
    </row>
    <row r="197" spans="1:26" x14ac:dyDescent="0.2">
      <c r="A197">
        <v>196</v>
      </c>
      <c r="B197" s="1">
        <v>45609</v>
      </c>
      <c r="C197" t="s">
        <v>7</v>
      </c>
      <c r="D197">
        <v>79.599999999999994</v>
      </c>
      <c r="E197">
        <v>71.099999999999994</v>
      </c>
      <c r="W197">
        <v>196</v>
      </c>
      <c r="X197" s="1">
        <v>44909</v>
      </c>
      <c r="Y197" t="s">
        <v>7</v>
      </c>
      <c r="Z197">
        <v>70.5</v>
      </c>
    </row>
    <row r="198" spans="1:26" x14ac:dyDescent="0.2">
      <c r="A198">
        <v>197</v>
      </c>
      <c r="B198" s="1">
        <v>45609</v>
      </c>
      <c r="C198" t="s">
        <v>7</v>
      </c>
      <c r="D198">
        <v>65.900000000000006</v>
      </c>
      <c r="E198">
        <v>58.8</v>
      </c>
      <c r="W198">
        <v>197</v>
      </c>
      <c r="X198" s="1">
        <v>44944</v>
      </c>
      <c r="Y198" t="s">
        <v>7</v>
      </c>
      <c r="Z198">
        <v>70.5</v>
      </c>
    </row>
    <row r="199" spans="1:26" x14ac:dyDescent="0.2">
      <c r="A199">
        <v>198</v>
      </c>
      <c r="B199" s="1">
        <v>45609</v>
      </c>
      <c r="C199" t="s">
        <v>7</v>
      </c>
      <c r="D199">
        <v>69.2</v>
      </c>
      <c r="E199">
        <v>61.8</v>
      </c>
      <c r="W199">
        <v>198</v>
      </c>
      <c r="X199" s="1">
        <v>45567</v>
      </c>
      <c r="Y199" t="s">
        <v>7</v>
      </c>
      <c r="Z199">
        <v>70.5</v>
      </c>
    </row>
    <row r="200" spans="1:26" x14ac:dyDescent="0.2">
      <c r="A200">
        <v>199</v>
      </c>
      <c r="B200" s="1">
        <v>45609</v>
      </c>
      <c r="C200" t="s">
        <v>7</v>
      </c>
      <c r="D200">
        <v>50.5</v>
      </c>
      <c r="E200">
        <v>45.1</v>
      </c>
      <c r="W200">
        <v>199</v>
      </c>
      <c r="X200" s="1">
        <v>45665</v>
      </c>
      <c r="Y200" t="s">
        <v>7</v>
      </c>
      <c r="Z200">
        <v>70.5</v>
      </c>
    </row>
    <row r="201" spans="1:26" ht="17" thickBot="1" x14ac:dyDescent="0.25">
      <c r="A201">
        <v>200</v>
      </c>
      <c r="B201" s="12">
        <v>45609</v>
      </c>
      <c r="C201" s="13" t="s">
        <v>7</v>
      </c>
      <c r="D201" s="13">
        <v>69.599999999999994</v>
      </c>
      <c r="E201" s="13">
        <v>62.1</v>
      </c>
      <c r="W201">
        <v>200</v>
      </c>
      <c r="X201" s="12">
        <v>45462</v>
      </c>
      <c r="Y201" s="13" t="s">
        <v>7</v>
      </c>
      <c r="Z201" s="13">
        <v>70.7</v>
      </c>
    </row>
    <row r="202" spans="1:26" x14ac:dyDescent="0.2">
      <c r="A202">
        <v>201</v>
      </c>
      <c r="B202" s="1">
        <v>45623</v>
      </c>
      <c r="C202" t="s">
        <v>7</v>
      </c>
      <c r="D202">
        <v>74.900000000000006</v>
      </c>
      <c r="W202">
        <v>201</v>
      </c>
      <c r="X202" s="1">
        <v>44958</v>
      </c>
      <c r="Y202" t="s">
        <v>7</v>
      </c>
      <c r="Z202">
        <v>71</v>
      </c>
    </row>
    <row r="203" spans="1:26" x14ac:dyDescent="0.2">
      <c r="A203">
        <v>202</v>
      </c>
      <c r="B203" s="1">
        <v>45623</v>
      </c>
      <c r="C203" t="s">
        <v>7</v>
      </c>
      <c r="D203">
        <v>62.7</v>
      </c>
      <c r="W203">
        <v>202</v>
      </c>
      <c r="X203" s="1">
        <v>45210</v>
      </c>
      <c r="Y203" t="s">
        <v>7</v>
      </c>
      <c r="Z203">
        <v>71</v>
      </c>
    </row>
    <row r="204" spans="1:26" x14ac:dyDescent="0.2">
      <c r="A204">
        <v>203</v>
      </c>
      <c r="B204" s="1">
        <v>45623</v>
      </c>
      <c r="C204" t="s">
        <v>7</v>
      </c>
      <c r="D204">
        <v>89.8</v>
      </c>
      <c r="W204">
        <v>203</v>
      </c>
      <c r="X204" s="1">
        <v>45763</v>
      </c>
      <c r="Y204" t="s">
        <v>7</v>
      </c>
      <c r="Z204">
        <v>71</v>
      </c>
    </row>
    <row r="205" spans="1:26" x14ac:dyDescent="0.2">
      <c r="A205">
        <v>204</v>
      </c>
      <c r="B205" s="1">
        <v>45623</v>
      </c>
      <c r="C205" t="s">
        <v>7</v>
      </c>
      <c r="D205">
        <v>65.5</v>
      </c>
      <c r="W205">
        <v>204</v>
      </c>
      <c r="X205" s="1">
        <v>45805</v>
      </c>
      <c r="Y205" t="s">
        <v>7</v>
      </c>
      <c r="Z205">
        <v>71</v>
      </c>
    </row>
    <row r="206" spans="1:26" x14ac:dyDescent="0.2">
      <c r="A206">
        <v>205</v>
      </c>
      <c r="B206" s="1">
        <v>45623</v>
      </c>
      <c r="C206" t="s">
        <v>7</v>
      </c>
      <c r="D206">
        <v>48.4</v>
      </c>
      <c r="W206">
        <v>205</v>
      </c>
      <c r="X206" s="1">
        <v>45735</v>
      </c>
      <c r="Y206" t="s">
        <v>7</v>
      </c>
      <c r="Z206">
        <v>71.400000000000006</v>
      </c>
    </row>
    <row r="207" spans="1:26" x14ac:dyDescent="0.2">
      <c r="A207">
        <v>206</v>
      </c>
      <c r="B207" s="1">
        <v>45623</v>
      </c>
      <c r="C207" t="s">
        <v>7</v>
      </c>
      <c r="D207">
        <v>68.900000000000006</v>
      </c>
      <c r="W207">
        <v>206</v>
      </c>
      <c r="X207" s="1">
        <v>45931</v>
      </c>
      <c r="Y207" t="s">
        <v>7</v>
      </c>
      <c r="Z207">
        <v>71.400000000000006</v>
      </c>
    </row>
    <row r="208" spans="1:26" x14ac:dyDescent="0.2">
      <c r="A208">
        <v>207</v>
      </c>
      <c r="B208" s="1">
        <v>45623</v>
      </c>
      <c r="C208" t="s">
        <v>7</v>
      </c>
      <c r="D208">
        <v>68.5</v>
      </c>
      <c r="W208">
        <v>207</v>
      </c>
      <c r="X208" s="1">
        <v>45973</v>
      </c>
      <c r="Y208" t="s">
        <v>7</v>
      </c>
      <c r="Z208">
        <v>71.400000000000006</v>
      </c>
    </row>
    <row r="209" spans="1:26" x14ac:dyDescent="0.2">
      <c r="A209">
        <v>208</v>
      </c>
      <c r="B209" s="1">
        <v>45623</v>
      </c>
      <c r="C209" t="s">
        <v>7</v>
      </c>
      <c r="D209">
        <v>26.3</v>
      </c>
      <c r="W209">
        <v>208</v>
      </c>
      <c r="X209" s="1">
        <v>45553</v>
      </c>
      <c r="Y209" t="s">
        <v>7</v>
      </c>
      <c r="Z209">
        <v>71.5</v>
      </c>
    </row>
    <row r="210" spans="1:26" ht="17" thickBot="1" x14ac:dyDescent="0.25">
      <c r="A210">
        <v>209</v>
      </c>
      <c r="B210" s="12">
        <v>45623</v>
      </c>
      <c r="C210" s="13" t="s">
        <v>7</v>
      </c>
      <c r="D210" s="13">
        <v>73.599999999999994</v>
      </c>
      <c r="E210" s="13"/>
      <c r="W210">
        <v>209</v>
      </c>
      <c r="X210" s="1">
        <v>45553</v>
      </c>
      <c r="Y210" t="s">
        <v>7</v>
      </c>
      <c r="Z210">
        <v>71.5</v>
      </c>
    </row>
    <row r="211" spans="1:26" x14ac:dyDescent="0.2">
      <c r="A211">
        <v>210</v>
      </c>
      <c r="B211" s="1">
        <v>45637</v>
      </c>
      <c r="C211" t="s">
        <v>7</v>
      </c>
      <c r="D211">
        <v>75</v>
      </c>
      <c r="W211">
        <v>210</v>
      </c>
      <c r="X211" s="1">
        <v>44958</v>
      </c>
      <c r="Y211" t="s">
        <v>7</v>
      </c>
      <c r="Z211">
        <v>71.599999999999994</v>
      </c>
    </row>
    <row r="212" spans="1:26" x14ac:dyDescent="0.2">
      <c r="A212">
        <v>211</v>
      </c>
      <c r="B212" s="1">
        <v>45637</v>
      </c>
      <c r="C212" t="s">
        <v>7</v>
      </c>
      <c r="D212">
        <v>55.1</v>
      </c>
      <c r="W212">
        <v>211</v>
      </c>
      <c r="X212" s="1">
        <v>45245</v>
      </c>
      <c r="Y212" t="s">
        <v>7</v>
      </c>
      <c r="Z212">
        <v>71.599999999999994</v>
      </c>
    </row>
    <row r="213" spans="1:26" x14ac:dyDescent="0.2">
      <c r="A213">
        <v>212</v>
      </c>
      <c r="B213" s="1">
        <v>45637</v>
      </c>
      <c r="C213" t="s">
        <v>7</v>
      </c>
      <c r="D213">
        <v>75.5</v>
      </c>
      <c r="W213">
        <v>212</v>
      </c>
      <c r="X213" s="1">
        <v>44979</v>
      </c>
      <c r="Y213" t="s">
        <v>7</v>
      </c>
      <c r="Z213">
        <v>71.7</v>
      </c>
    </row>
    <row r="214" spans="1:26" x14ac:dyDescent="0.2">
      <c r="A214">
        <v>213</v>
      </c>
      <c r="B214" s="1">
        <v>45637</v>
      </c>
      <c r="C214" t="s">
        <v>7</v>
      </c>
      <c r="D214">
        <v>67.599999999999994</v>
      </c>
      <c r="W214">
        <v>213</v>
      </c>
      <c r="X214" s="1">
        <v>45483</v>
      </c>
      <c r="Y214" t="s">
        <v>7</v>
      </c>
      <c r="Z214">
        <v>71.7</v>
      </c>
    </row>
    <row r="215" spans="1:26" x14ac:dyDescent="0.2">
      <c r="A215">
        <v>214</v>
      </c>
      <c r="B215" s="1">
        <v>45637</v>
      </c>
      <c r="C215" t="s">
        <v>7</v>
      </c>
      <c r="D215">
        <v>55.9</v>
      </c>
      <c r="W215">
        <v>214</v>
      </c>
      <c r="X215" s="1">
        <v>45749</v>
      </c>
      <c r="Y215" t="s">
        <v>7</v>
      </c>
      <c r="Z215">
        <v>71.7</v>
      </c>
    </row>
    <row r="216" spans="1:26" x14ac:dyDescent="0.2">
      <c r="A216">
        <v>215</v>
      </c>
      <c r="B216" s="1">
        <v>45637</v>
      </c>
      <c r="C216" t="s">
        <v>7</v>
      </c>
      <c r="D216">
        <v>74.3</v>
      </c>
      <c r="W216">
        <v>215</v>
      </c>
      <c r="X216" s="1">
        <v>44979</v>
      </c>
      <c r="Y216" t="s">
        <v>7</v>
      </c>
      <c r="Z216">
        <v>71.8</v>
      </c>
    </row>
    <row r="217" spans="1:26" x14ac:dyDescent="0.2">
      <c r="A217">
        <v>216</v>
      </c>
      <c r="B217" s="1">
        <v>45637</v>
      </c>
      <c r="C217" t="s">
        <v>7</v>
      </c>
      <c r="D217">
        <v>55.7</v>
      </c>
      <c r="W217">
        <v>216</v>
      </c>
      <c r="X217" s="1">
        <v>45112</v>
      </c>
      <c r="Y217" t="s">
        <v>7</v>
      </c>
      <c r="Z217">
        <v>71.8</v>
      </c>
    </row>
    <row r="218" spans="1:26" x14ac:dyDescent="0.2">
      <c r="A218">
        <v>217</v>
      </c>
      <c r="B218" s="1">
        <v>45637</v>
      </c>
      <c r="C218" t="s">
        <v>7</v>
      </c>
      <c r="D218">
        <v>36.9</v>
      </c>
      <c r="W218">
        <v>217</v>
      </c>
      <c r="X218" s="1">
        <v>46085</v>
      </c>
      <c r="Y218" t="s">
        <v>7</v>
      </c>
      <c r="Z218">
        <v>71.8</v>
      </c>
    </row>
    <row r="219" spans="1:26" x14ac:dyDescent="0.2">
      <c r="A219">
        <v>218</v>
      </c>
      <c r="B219" s="1">
        <v>45637</v>
      </c>
      <c r="C219" t="s">
        <v>7</v>
      </c>
      <c r="D219">
        <v>45.4</v>
      </c>
      <c r="W219">
        <v>218</v>
      </c>
      <c r="X219" s="1">
        <v>45483</v>
      </c>
      <c r="Y219" t="s">
        <v>7</v>
      </c>
      <c r="Z219">
        <v>72</v>
      </c>
    </row>
    <row r="220" spans="1:26" ht="17" thickBot="1" x14ac:dyDescent="0.25">
      <c r="A220">
        <v>219</v>
      </c>
      <c r="B220" s="33">
        <v>45637</v>
      </c>
      <c r="C220" s="34" t="s">
        <v>7</v>
      </c>
      <c r="D220" s="34">
        <v>68.900000000000006</v>
      </c>
      <c r="E220" s="34"/>
      <c r="W220">
        <v>219</v>
      </c>
      <c r="X220" s="12">
        <v>45917</v>
      </c>
      <c r="Y220" s="13" t="s">
        <v>7</v>
      </c>
      <c r="Z220" s="13">
        <v>72</v>
      </c>
    </row>
    <row r="221" spans="1:26" x14ac:dyDescent="0.2">
      <c r="A221">
        <v>220</v>
      </c>
      <c r="B221" s="1">
        <v>45644</v>
      </c>
      <c r="C221" t="s">
        <v>7</v>
      </c>
      <c r="D221">
        <v>55.8</v>
      </c>
      <c r="W221">
        <v>220</v>
      </c>
      <c r="X221" s="1">
        <v>45987</v>
      </c>
      <c r="Y221" t="s">
        <v>7</v>
      </c>
      <c r="Z221">
        <v>72</v>
      </c>
    </row>
    <row r="222" spans="1:26" x14ac:dyDescent="0.2">
      <c r="A222">
        <v>221</v>
      </c>
      <c r="B222" s="1">
        <v>45644</v>
      </c>
      <c r="C222" t="s">
        <v>7</v>
      </c>
      <c r="D222">
        <v>91.8</v>
      </c>
      <c r="W222">
        <v>221</v>
      </c>
      <c r="X222" s="1">
        <v>45945</v>
      </c>
      <c r="Y222" t="s">
        <v>7</v>
      </c>
      <c r="Z222">
        <v>72.099999999999994</v>
      </c>
    </row>
    <row r="223" spans="1:26" x14ac:dyDescent="0.2">
      <c r="A223">
        <v>222</v>
      </c>
      <c r="B223" s="1">
        <v>45644</v>
      </c>
      <c r="C223" t="s">
        <v>7</v>
      </c>
      <c r="D223">
        <v>48.3</v>
      </c>
      <c r="W223">
        <v>222</v>
      </c>
      <c r="X223" s="1">
        <v>44916</v>
      </c>
      <c r="Y223" t="s">
        <v>7</v>
      </c>
      <c r="Z223">
        <v>72.2</v>
      </c>
    </row>
    <row r="224" spans="1:26" x14ac:dyDescent="0.2">
      <c r="A224">
        <v>223</v>
      </c>
      <c r="B224" s="1">
        <v>45644</v>
      </c>
      <c r="C224" t="s">
        <v>7</v>
      </c>
      <c r="D224">
        <v>52.1</v>
      </c>
      <c r="W224">
        <v>223</v>
      </c>
      <c r="X224" s="1">
        <v>45595</v>
      </c>
      <c r="Y224" t="s">
        <v>7</v>
      </c>
      <c r="Z224">
        <v>72.2</v>
      </c>
    </row>
    <row r="225" spans="1:26" x14ac:dyDescent="0.2">
      <c r="A225">
        <v>224</v>
      </c>
      <c r="B225" s="1">
        <v>45644</v>
      </c>
      <c r="C225" t="s">
        <v>7</v>
      </c>
      <c r="D225">
        <v>88</v>
      </c>
      <c r="W225">
        <v>224</v>
      </c>
      <c r="X225" s="1">
        <v>45791</v>
      </c>
      <c r="Y225" t="s">
        <v>7</v>
      </c>
      <c r="Z225">
        <v>72.2</v>
      </c>
    </row>
    <row r="226" spans="1:26" x14ac:dyDescent="0.2">
      <c r="A226">
        <v>225</v>
      </c>
      <c r="B226" s="33">
        <v>45644</v>
      </c>
      <c r="C226" s="34" t="s">
        <v>7</v>
      </c>
      <c r="D226" s="34">
        <v>46.4</v>
      </c>
      <c r="E226" s="34"/>
      <c r="W226">
        <v>225</v>
      </c>
      <c r="X226" s="33">
        <v>45595</v>
      </c>
      <c r="Y226" s="34" t="s">
        <v>7</v>
      </c>
      <c r="Z226" s="34">
        <v>72.5</v>
      </c>
    </row>
    <row r="227" spans="1:26" x14ac:dyDescent="0.2">
      <c r="A227">
        <v>226</v>
      </c>
      <c r="B227" s="1">
        <v>45665</v>
      </c>
      <c r="C227" t="s">
        <v>7</v>
      </c>
      <c r="D227">
        <v>92.1</v>
      </c>
      <c r="W227">
        <v>226</v>
      </c>
      <c r="X227" s="1">
        <v>45721</v>
      </c>
      <c r="Y227" t="s">
        <v>7</v>
      </c>
      <c r="Z227">
        <v>72.5</v>
      </c>
    </row>
    <row r="228" spans="1:26" x14ac:dyDescent="0.2">
      <c r="A228">
        <v>227</v>
      </c>
      <c r="B228" s="1">
        <v>45665</v>
      </c>
      <c r="C228" t="s">
        <v>7</v>
      </c>
      <c r="D228">
        <v>70.5</v>
      </c>
      <c r="W228">
        <v>227</v>
      </c>
      <c r="X228" s="1">
        <v>45777</v>
      </c>
      <c r="Y228" t="s">
        <v>7</v>
      </c>
      <c r="Z228">
        <v>72.5</v>
      </c>
    </row>
    <row r="229" spans="1:26" x14ac:dyDescent="0.2">
      <c r="A229">
        <v>228</v>
      </c>
      <c r="B229" s="1">
        <v>45665</v>
      </c>
      <c r="C229" s="20" t="s">
        <v>7</v>
      </c>
      <c r="D229">
        <v>59.3</v>
      </c>
      <c r="W229">
        <v>228</v>
      </c>
      <c r="X229" s="1">
        <v>45553</v>
      </c>
      <c r="Y229" t="s">
        <v>7</v>
      </c>
      <c r="Z229">
        <v>72.599999999999994</v>
      </c>
    </row>
    <row r="230" spans="1:26" x14ac:dyDescent="0.2">
      <c r="A230">
        <v>229</v>
      </c>
      <c r="B230" s="1">
        <v>45665</v>
      </c>
      <c r="C230" t="s">
        <v>7</v>
      </c>
      <c r="D230">
        <v>91.9</v>
      </c>
      <c r="W230">
        <v>229</v>
      </c>
      <c r="X230" s="1">
        <v>45777</v>
      </c>
      <c r="Y230" t="s">
        <v>7</v>
      </c>
      <c r="Z230">
        <v>72.7</v>
      </c>
    </row>
    <row r="231" spans="1:26" x14ac:dyDescent="0.2">
      <c r="A231">
        <v>230</v>
      </c>
      <c r="B231" s="1">
        <v>45665</v>
      </c>
      <c r="C231" t="s">
        <v>7</v>
      </c>
      <c r="D231">
        <v>62.1</v>
      </c>
      <c r="W231">
        <v>230</v>
      </c>
      <c r="X231" s="1">
        <v>45777</v>
      </c>
      <c r="Y231" t="s">
        <v>7</v>
      </c>
      <c r="Z231">
        <v>72.900000000000006</v>
      </c>
    </row>
    <row r="232" spans="1:26" x14ac:dyDescent="0.2">
      <c r="A232">
        <v>231</v>
      </c>
      <c r="B232" s="1">
        <v>45665</v>
      </c>
      <c r="C232" t="s">
        <v>7</v>
      </c>
      <c r="D232">
        <v>56.4</v>
      </c>
      <c r="W232">
        <v>231</v>
      </c>
      <c r="X232" s="1">
        <v>45791</v>
      </c>
      <c r="Y232" t="s">
        <v>7</v>
      </c>
      <c r="Z232">
        <v>72.900000000000006</v>
      </c>
    </row>
    <row r="233" spans="1:26" x14ac:dyDescent="0.2">
      <c r="A233">
        <v>232</v>
      </c>
      <c r="B233" s="1">
        <v>45665</v>
      </c>
      <c r="C233" t="s">
        <v>7</v>
      </c>
      <c r="D233">
        <v>73.2</v>
      </c>
      <c r="W233">
        <v>232</v>
      </c>
      <c r="X233" s="1">
        <v>45973</v>
      </c>
      <c r="Y233" t="s">
        <v>7</v>
      </c>
      <c r="Z233">
        <v>72.900000000000006</v>
      </c>
    </row>
    <row r="234" spans="1:26" x14ac:dyDescent="0.2">
      <c r="A234">
        <v>233</v>
      </c>
      <c r="B234" s="1">
        <v>45665</v>
      </c>
      <c r="C234" t="s">
        <v>7</v>
      </c>
      <c r="D234">
        <v>66.900000000000006</v>
      </c>
      <c r="W234">
        <v>233</v>
      </c>
      <c r="X234" s="1">
        <v>45721</v>
      </c>
      <c r="Y234" t="s">
        <v>7</v>
      </c>
      <c r="Z234">
        <v>73</v>
      </c>
    </row>
    <row r="235" spans="1:26" x14ac:dyDescent="0.2">
      <c r="A235">
        <v>234</v>
      </c>
      <c r="B235" s="33">
        <v>45665</v>
      </c>
      <c r="C235" s="34" t="s">
        <v>7</v>
      </c>
      <c r="D235" s="34">
        <v>66.599999999999994</v>
      </c>
      <c r="E235" s="34"/>
      <c r="W235">
        <v>234</v>
      </c>
      <c r="X235" s="1">
        <v>45483</v>
      </c>
      <c r="Y235" t="s">
        <v>7</v>
      </c>
      <c r="Z235">
        <v>73.099999999999994</v>
      </c>
    </row>
    <row r="236" spans="1:26" x14ac:dyDescent="0.2">
      <c r="A236">
        <v>235</v>
      </c>
      <c r="B236" s="1">
        <v>45679</v>
      </c>
      <c r="C236" t="s">
        <v>7</v>
      </c>
      <c r="D236">
        <v>74.7</v>
      </c>
      <c r="W236">
        <v>235</v>
      </c>
      <c r="X236" s="1">
        <v>45763</v>
      </c>
      <c r="Y236" t="s">
        <v>7</v>
      </c>
      <c r="Z236">
        <v>73.099999999999994</v>
      </c>
    </row>
    <row r="237" spans="1:26" x14ac:dyDescent="0.2">
      <c r="A237">
        <v>236</v>
      </c>
      <c r="B237" s="1">
        <v>45679</v>
      </c>
      <c r="C237" t="s">
        <v>7</v>
      </c>
      <c r="D237">
        <v>55.4</v>
      </c>
      <c r="W237">
        <v>236</v>
      </c>
      <c r="X237" s="1">
        <v>45567</v>
      </c>
      <c r="Y237" t="s">
        <v>7</v>
      </c>
      <c r="Z237">
        <v>73.2</v>
      </c>
    </row>
    <row r="238" spans="1:26" x14ac:dyDescent="0.2">
      <c r="A238">
        <v>237</v>
      </c>
      <c r="B238" s="1">
        <v>45679</v>
      </c>
      <c r="C238" t="s">
        <v>7</v>
      </c>
      <c r="D238">
        <v>64.099999999999994</v>
      </c>
      <c r="W238">
        <v>237</v>
      </c>
      <c r="X238" s="1">
        <v>45665</v>
      </c>
      <c r="Y238" t="s">
        <v>7</v>
      </c>
      <c r="Z238">
        <v>73.2</v>
      </c>
    </row>
    <row r="239" spans="1:26" x14ac:dyDescent="0.2">
      <c r="A239">
        <v>238</v>
      </c>
      <c r="B239" s="1">
        <v>45679</v>
      </c>
      <c r="C239" t="s">
        <v>7</v>
      </c>
      <c r="D239">
        <v>82.2</v>
      </c>
      <c r="W239">
        <v>238</v>
      </c>
      <c r="X239" s="1">
        <v>45042</v>
      </c>
      <c r="Y239" t="s">
        <v>7</v>
      </c>
      <c r="Z239">
        <v>73.3</v>
      </c>
    </row>
    <row r="240" spans="1:26" x14ac:dyDescent="0.2">
      <c r="A240">
        <v>239</v>
      </c>
      <c r="B240" s="1">
        <v>45693</v>
      </c>
      <c r="C240" t="s">
        <v>7</v>
      </c>
      <c r="D240">
        <v>76.400000000000006</v>
      </c>
      <c r="W240">
        <v>239</v>
      </c>
      <c r="X240" s="1">
        <v>45352</v>
      </c>
      <c r="Y240" t="s">
        <v>7</v>
      </c>
      <c r="Z240">
        <v>73.3</v>
      </c>
    </row>
    <row r="241" spans="1:26" x14ac:dyDescent="0.2">
      <c r="A241">
        <v>240</v>
      </c>
      <c r="B241" s="1">
        <v>45693</v>
      </c>
      <c r="C241" t="s">
        <v>7</v>
      </c>
      <c r="D241">
        <v>69.8</v>
      </c>
      <c r="W241">
        <v>240</v>
      </c>
      <c r="X241" s="1">
        <v>44958</v>
      </c>
      <c r="Y241" t="s">
        <v>7</v>
      </c>
      <c r="Z241">
        <v>73.400000000000006</v>
      </c>
    </row>
    <row r="242" spans="1:26" x14ac:dyDescent="0.2">
      <c r="A242">
        <v>241</v>
      </c>
      <c r="B242" s="1">
        <v>45693</v>
      </c>
      <c r="C242" t="s">
        <v>7</v>
      </c>
      <c r="D242">
        <v>39.700000000000003</v>
      </c>
      <c r="W242">
        <v>241</v>
      </c>
      <c r="X242" s="1">
        <v>45014</v>
      </c>
      <c r="Y242" t="s">
        <v>7</v>
      </c>
      <c r="Z242">
        <v>73.5</v>
      </c>
    </row>
    <row r="243" spans="1:26" ht="17" thickBot="1" x14ac:dyDescent="0.25">
      <c r="A243">
        <v>242</v>
      </c>
      <c r="B243" s="12">
        <v>45693</v>
      </c>
      <c r="C243" s="13" t="s">
        <v>7</v>
      </c>
      <c r="D243" s="13">
        <v>92.9</v>
      </c>
      <c r="W243">
        <v>242</v>
      </c>
      <c r="X243" s="12">
        <v>45931</v>
      </c>
      <c r="Y243" s="13" t="s">
        <v>7</v>
      </c>
      <c r="Z243" s="13">
        <v>73.5</v>
      </c>
    </row>
    <row r="244" spans="1:26" x14ac:dyDescent="0.2">
      <c r="A244">
        <v>243</v>
      </c>
      <c r="B244" s="6">
        <v>45721</v>
      </c>
      <c r="C244" s="7" t="s">
        <v>7</v>
      </c>
      <c r="D244" s="7">
        <v>89.6</v>
      </c>
      <c r="W244">
        <v>243</v>
      </c>
      <c r="X244" s="6">
        <v>45623</v>
      </c>
      <c r="Y244" s="7" t="s">
        <v>7</v>
      </c>
      <c r="Z244" s="7">
        <v>73.599999999999994</v>
      </c>
    </row>
    <row r="245" spans="1:26" x14ac:dyDescent="0.2">
      <c r="A245">
        <v>244</v>
      </c>
      <c r="B245" s="1">
        <v>45721</v>
      </c>
      <c r="C245" t="s">
        <v>7</v>
      </c>
      <c r="D245">
        <v>80.2</v>
      </c>
      <c r="W245">
        <v>244</v>
      </c>
      <c r="X245" s="1">
        <v>46099</v>
      </c>
      <c r="Y245" t="s">
        <v>7</v>
      </c>
      <c r="Z245">
        <v>74</v>
      </c>
    </row>
    <row r="246" spans="1:26" x14ac:dyDescent="0.2">
      <c r="A246">
        <v>245</v>
      </c>
      <c r="B246" s="1">
        <v>45721</v>
      </c>
      <c r="C246" t="s">
        <v>7</v>
      </c>
      <c r="D246">
        <v>61.1</v>
      </c>
      <c r="W246">
        <v>245</v>
      </c>
      <c r="X246" s="1">
        <v>45315</v>
      </c>
      <c r="Y246" t="s">
        <v>7</v>
      </c>
      <c r="Z246">
        <v>74.099999999999994</v>
      </c>
    </row>
    <row r="247" spans="1:26" x14ac:dyDescent="0.2">
      <c r="A247">
        <v>246</v>
      </c>
      <c r="B247" s="1">
        <v>45721</v>
      </c>
      <c r="C247" t="s">
        <v>7</v>
      </c>
      <c r="D247">
        <v>73</v>
      </c>
      <c r="W247">
        <v>246</v>
      </c>
      <c r="X247" s="1">
        <v>45819</v>
      </c>
      <c r="Y247" t="s">
        <v>7</v>
      </c>
      <c r="Z247">
        <v>74.099999999999994</v>
      </c>
    </row>
    <row r="248" spans="1:26" x14ac:dyDescent="0.2">
      <c r="A248">
        <v>247</v>
      </c>
      <c r="B248" s="1">
        <v>45721</v>
      </c>
      <c r="C248" t="s">
        <v>7</v>
      </c>
      <c r="D248">
        <v>68.7</v>
      </c>
      <c r="W248">
        <v>247</v>
      </c>
      <c r="X248" s="1">
        <v>45917</v>
      </c>
      <c r="Y248" t="s">
        <v>7</v>
      </c>
      <c r="Z248">
        <v>74.099999999999994</v>
      </c>
    </row>
    <row r="249" spans="1:26" x14ac:dyDescent="0.2">
      <c r="A249">
        <v>248</v>
      </c>
      <c r="B249" s="1">
        <v>45721</v>
      </c>
      <c r="C249" t="s">
        <v>7</v>
      </c>
      <c r="D249">
        <v>72.5</v>
      </c>
      <c r="W249">
        <v>248</v>
      </c>
      <c r="X249" s="1">
        <v>45112</v>
      </c>
      <c r="Y249" t="s">
        <v>7</v>
      </c>
      <c r="Z249">
        <v>74.2</v>
      </c>
    </row>
    <row r="250" spans="1:26" x14ac:dyDescent="0.2">
      <c r="A250">
        <v>249</v>
      </c>
      <c r="B250" s="1">
        <v>45721</v>
      </c>
      <c r="C250" t="s">
        <v>7</v>
      </c>
      <c r="D250">
        <v>69.400000000000006</v>
      </c>
      <c r="W250">
        <v>249</v>
      </c>
      <c r="X250" s="1">
        <v>45637</v>
      </c>
      <c r="Y250" t="s">
        <v>7</v>
      </c>
      <c r="Z250">
        <v>74.3</v>
      </c>
    </row>
    <row r="251" spans="1:26" ht="17" thickBot="1" x14ac:dyDescent="0.25">
      <c r="A251">
        <v>250</v>
      </c>
      <c r="B251" s="1">
        <v>45721</v>
      </c>
      <c r="C251" t="s">
        <v>7</v>
      </c>
      <c r="D251">
        <v>78.3</v>
      </c>
      <c r="W251">
        <v>250</v>
      </c>
      <c r="X251" s="1">
        <v>45777</v>
      </c>
      <c r="Y251" t="s">
        <v>7</v>
      </c>
      <c r="Z251">
        <v>74.3</v>
      </c>
    </row>
    <row r="252" spans="1:26" x14ac:dyDescent="0.2">
      <c r="A252">
        <v>251</v>
      </c>
      <c r="B252" s="6">
        <v>45735</v>
      </c>
      <c r="C252" s="7" t="s">
        <v>7</v>
      </c>
      <c r="D252" s="7">
        <v>84.9</v>
      </c>
      <c r="W252">
        <v>251</v>
      </c>
      <c r="X252" s="6">
        <v>44958</v>
      </c>
      <c r="Y252" s="7" t="s">
        <v>7</v>
      </c>
      <c r="Z252" s="7">
        <v>74.5</v>
      </c>
    </row>
    <row r="253" spans="1:26" x14ac:dyDescent="0.2">
      <c r="A253">
        <v>252</v>
      </c>
      <c r="B253" s="1">
        <v>45735</v>
      </c>
      <c r="C253" t="s">
        <v>7</v>
      </c>
      <c r="D253">
        <v>52.5</v>
      </c>
      <c r="W253">
        <v>252</v>
      </c>
      <c r="X253" s="1">
        <v>45392</v>
      </c>
      <c r="Y253" t="s">
        <v>7</v>
      </c>
      <c r="Z253">
        <v>74.5</v>
      </c>
    </row>
    <row r="254" spans="1:26" x14ac:dyDescent="0.2">
      <c r="A254">
        <v>253</v>
      </c>
      <c r="B254" s="1">
        <v>45735</v>
      </c>
      <c r="C254" t="s">
        <v>7</v>
      </c>
      <c r="D254">
        <v>63.5</v>
      </c>
      <c r="W254">
        <v>253</v>
      </c>
      <c r="X254" s="1">
        <v>45931</v>
      </c>
      <c r="Y254" t="s">
        <v>7</v>
      </c>
      <c r="Z254">
        <v>74.5</v>
      </c>
    </row>
    <row r="255" spans="1:26" x14ac:dyDescent="0.2">
      <c r="A255">
        <v>254</v>
      </c>
      <c r="B255" s="1">
        <v>45735</v>
      </c>
      <c r="C255" t="s">
        <v>7</v>
      </c>
      <c r="D255">
        <v>54.6</v>
      </c>
      <c r="W255">
        <v>254</v>
      </c>
      <c r="X255" s="1">
        <v>45861</v>
      </c>
      <c r="Y255" t="s">
        <v>7</v>
      </c>
      <c r="Z255">
        <v>74.599999999999994</v>
      </c>
    </row>
    <row r="256" spans="1:26" x14ac:dyDescent="0.2">
      <c r="A256">
        <v>255</v>
      </c>
      <c r="B256" s="1">
        <v>45735</v>
      </c>
      <c r="C256" t="s">
        <v>7</v>
      </c>
      <c r="D256">
        <v>53.5</v>
      </c>
      <c r="W256">
        <v>255</v>
      </c>
      <c r="X256" s="1">
        <v>45161</v>
      </c>
      <c r="Y256" t="s">
        <v>7</v>
      </c>
      <c r="Z256">
        <v>74.7</v>
      </c>
    </row>
    <row r="257" spans="1:26" x14ac:dyDescent="0.2">
      <c r="A257">
        <v>256</v>
      </c>
      <c r="B257" s="1">
        <v>45735</v>
      </c>
      <c r="C257" t="s">
        <v>7</v>
      </c>
      <c r="D257">
        <v>71.400000000000006</v>
      </c>
      <c r="W257">
        <v>256</v>
      </c>
      <c r="X257" s="1">
        <v>45679</v>
      </c>
      <c r="Y257" t="s">
        <v>7</v>
      </c>
      <c r="Z257">
        <v>74.7</v>
      </c>
    </row>
    <row r="258" spans="1:26" x14ac:dyDescent="0.2">
      <c r="A258">
        <v>257</v>
      </c>
      <c r="B258" s="1">
        <v>45735</v>
      </c>
      <c r="C258" t="s">
        <v>7</v>
      </c>
      <c r="D258">
        <v>66.900000000000006</v>
      </c>
      <c r="W258">
        <v>257</v>
      </c>
      <c r="X258" s="1">
        <v>45315</v>
      </c>
      <c r="Y258" t="s">
        <v>7</v>
      </c>
      <c r="Z258">
        <v>74.900000000000006</v>
      </c>
    </row>
    <row r="259" spans="1:26" ht="17" thickBot="1" x14ac:dyDescent="0.25">
      <c r="A259">
        <v>258</v>
      </c>
      <c r="B259" s="1">
        <v>45735</v>
      </c>
      <c r="C259" t="s">
        <v>7</v>
      </c>
      <c r="D259">
        <v>46</v>
      </c>
      <c r="W259">
        <v>258</v>
      </c>
      <c r="X259" s="1">
        <v>45623</v>
      </c>
      <c r="Y259" t="s">
        <v>7</v>
      </c>
      <c r="Z259">
        <v>74.900000000000006</v>
      </c>
    </row>
    <row r="260" spans="1:26" x14ac:dyDescent="0.2">
      <c r="A260">
        <v>259</v>
      </c>
      <c r="B260" s="6">
        <v>45749</v>
      </c>
      <c r="C260" s="7" t="s">
        <v>7</v>
      </c>
      <c r="D260" s="7">
        <v>90.4</v>
      </c>
      <c r="W260">
        <v>259</v>
      </c>
      <c r="X260" s="6">
        <v>45987</v>
      </c>
      <c r="Y260" s="7" t="s">
        <v>7</v>
      </c>
      <c r="Z260" s="7">
        <v>74.900000000000006</v>
      </c>
    </row>
    <row r="261" spans="1:26" x14ac:dyDescent="0.2">
      <c r="A261">
        <v>260</v>
      </c>
      <c r="B261" s="1">
        <v>45749</v>
      </c>
      <c r="C261" t="s">
        <v>7</v>
      </c>
      <c r="D261">
        <v>71.7</v>
      </c>
      <c r="W261">
        <v>260</v>
      </c>
      <c r="X261" s="1">
        <v>45637</v>
      </c>
      <c r="Y261" t="s">
        <v>7</v>
      </c>
      <c r="Z261">
        <v>75</v>
      </c>
    </row>
    <row r="262" spans="1:26" x14ac:dyDescent="0.2">
      <c r="A262">
        <v>261</v>
      </c>
      <c r="B262" s="1">
        <v>45749</v>
      </c>
      <c r="C262" s="20" t="s">
        <v>7</v>
      </c>
      <c r="D262">
        <v>69</v>
      </c>
      <c r="W262">
        <v>261</v>
      </c>
      <c r="X262" s="1">
        <v>45553</v>
      </c>
      <c r="Y262" t="s">
        <v>7</v>
      </c>
      <c r="Z262">
        <v>75.2</v>
      </c>
    </row>
    <row r="263" spans="1:26" x14ac:dyDescent="0.2">
      <c r="A263">
        <v>262</v>
      </c>
      <c r="B263" s="1">
        <v>45749</v>
      </c>
      <c r="C263" t="s">
        <v>7</v>
      </c>
      <c r="D263">
        <v>77.5</v>
      </c>
      <c r="W263">
        <v>262</v>
      </c>
      <c r="X263" s="1">
        <v>45847</v>
      </c>
      <c r="Y263" t="s">
        <v>7</v>
      </c>
      <c r="Z263">
        <v>75.2</v>
      </c>
    </row>
    <row r="264" spans="1:26" x14ac:dyDescent="0.2">
      <c r="A264">
        <v>263</v>
      </c>
      <c r="B264" s="1">
        <v>45749</v>
      </c>
      <c r="C264" t="s">
        <v>7</v>
      </c>
      <c r="D264">
        <v>70.400000000000006</v>
      </c>
      <c r="W264">
        <v>263</v>
      </c>
      <c r="X264" s="1">
        <v>45889</v>
      </c>
      <c r="Y264" t="s">
        <v>7</v>
      </c>
      <c r="Z264">
        <v>75.2</v>
      </c>
    </row>
    <row r="265" spans="1:26" x14ac:dyDescent="0.2">
      <c r="A265">
        <v>264</v>
      </c>
      <c r="B265" s="1">
        <v>45749</v>
      </c>
      <c r="C265" t="s">
        <v>7</v>
      </c>
      <c r="D265">
        <v>93.6</v>
      </c>
      <c r="W265">
        <v>264</v>
      </c>
      <c r="X265" s="1">
        <v>45392</v>
      </c>
      <c r="Y265" t="s">
        <v>7</v>
      </c>
      <c r="Z265">
        <v>75.3</v>
      </c>
    </row>
    <row r="266" spans="1:26" ht="17" thickBot="1" x14ac:dyDescent="0.25">
      <c r="A266">
        <v>265</v>
      </c>
      <c r="B266" s="12">
        <v>45749</v>
      </c>
      <c r="C266" s="13" t="s">
        <v>7</v>
      </c>
      <c r="D266" s="13">
        <v>88.5</v>
      </c>
      <c r="W266">
        <v>265</v>
      </c>
      <c r="X266" s="1">
        <v>45889</v>
      </c>
      <c r="Y266" t="s">
        <v>7</v>
      </c>
      <c r="Z266">
        <v>75.3</v>
      </c>
    </row>
    <row r="267" spans="1:26" x14ac:dyDescent="0.2">
      <c r="A267">
        <v>266</v>
      </c>
      <c r="B267" s="1">
        <v>45763</v>
      </c>
      <c r="C267" t="s">
        <v>7</v>
      </c>
      <c r="D267">
        <v>73.099999999999994</v>
      </c>
      <c r="W267">
        <v>266</v>
      </c>
      <c r="X267" s="1">
        <v>45917</v>
      </c>
      <c r="Y267" t="s">
        <v>7</v>
      </c>
      <c r="Z267">
        <v>75.3</v>
      </c>
    </row>
    <row r="268" spans="1:26" x14ac:dyDescent="0.2">
      <c r="A268">
        <v>267</v>
      </c>
      <c r="B268" s="1">
        <v>45763</v>
      </c>
      <c r="C268" t="s">
        <v>7</v>
      </c>
      <c r="D268">
        <v>53.5</v>
      </c>
      <c r="W268">
        <v>267</v>
      </c>
      <c r="X268" s="1">
        <v>45483</v>
      </c>
      <c r="Y268" t="s">
        <v>7</v>
      </c>
      <c r="Z268">
        <v>75.5</v>
      </c>
    </row>
    <row r="269" spans="1:26" x14ac:dyDescent="0.2">
      <c r="A269">
        <v>268</v>
      </c>
      <c r="B269" s="1">
        <v>45763</v>
      </c>
      <c r="C269" t="s">
        <v>7</v>
      </c>
      <c r="D269">
        <v>71</v>
      </c>
      <c r="W269">
        <v>268</v>
      </c>
      <c r="X269" s="1">
        <v>45637</v>
      </c>
      <c r="Y269" t="s">
        <v>7</v>
      </c>
      <c r="Z269">
        <v>75.5</v>
      </c>
    </row>
    <row r="270" spans="1:26" x14ac:dyDescent="0.2">
      <c r="A270">
        <v>269</v>
      </c>
      <c r="B270" s="1">
        <v>45763</v>
      </c>
      <c r="C270" t="s">
        <v>7</v>
      </c>
      <c r="D270">
        <v>91.5</v>
      </c>
      <c r="W270">
        <v>269</v>
      </c>
      <c r="X270" s="1">
        <v>45352</v>
      </c>
      <c r="Y270" t="s">
        <v>7</v>
      </c>
      <c r="Z270">
        <v>75.7</v>
      </c>
    </row>
    <row r="271" spans="1:26" x14ac:dyDescent="0.2">
      <c r="A271">
        <v>270</v>
      </c>
      <c r="B271" s="1">
        <v>45763</v>
      </c>
      <c r="C271" t="s">
        <v>7</v>
      </c>
      <c r="D271">
        <v>75.7</v>
      </c>
      <c r="W271">
        <v>270</v>
      </c>
      <c r="X271" s="1">
        <v>45763</v>
      </c>
      <c r="Y271" t="s">
        <v>7</v>
      </c>
      <c r="Z271">
        <v>75.7</v>
      </c>
    </row>
    <row r="272" spans="1:26" x14ac:dyDescent="0.2">
      <c r="A272">
        <v>271</v>
      </c>
      <c r="B272" s="1">
        <v>45763</v>
      </c>
      <c r="C272" t="s">
        <v>7</v>
      </c>
      <c r="D272">
        <v>66.099999999999994</v>
      </c>
      <c r="W272">
        <v>271</v>
      </c>
      <c r="X272" s="1">
        <v>45833</v>
      </c>
      <c r="Y272" t="s">
        <v>7</v>
      </c>
      <c r="Z272">
        <v>75.7</v>
      </c>
    </row>
    <row r="273" spans="1:26" x14ac:dyDescent="0.2">
      <c r="A273">
        <v>272</v>
      </c>
      <c r="B273" s="1">
        <v>45763</v>
      </c>
      <c r="C273" t="s">
        <v>7</v>
      </c>
      <c r="D273">
        <v>53.4</v>
      </c>
      <c r="W273">
        <v>272</v>
      </c>
      <c r="X273" s="1">
        <v>45847</v>
      </c>
      <c r="Y273" t="s">
        <v>7</v>
      </c>
      <c r="Z273">
        <v>75.7</v>
      </c>
    </row>
    <row r="274" spans="1:26" x14ac:dyDescent="0.2">
      <c r="A274">
        <v>273</v>
      </c>
      <c r="B274" s="1">
        <v>45763</v>
      </c>
      <c r="C274" t="s">
        <v>7</v>
      </c>
      <c r="D274">
        <v>62.1</v>
      </c>
      <c r="W274">
        <v>273</v>
      </c>
      <c r="X274" s="1">
        <v>46085</v>
      </c>
      <c r="Y274" t="s">
        <v>7</v>
      </c>
      <c r="Z274">
        <v>75.7</v>
      </c>
    </row>
    <row r="275" spans="1:26" ht="17" thickBot="1" x14ac:dyDescent="0.25">
      <c r="A275">
        <v>274</v>
      </c>
      <c r="B275" s="12">
        <v>45763</v>
      </c>
      <c r="C275" s="13" t="s">
        <v>7</v>
      </c>
      <c r="D275" s="13">
        <v>40.299999999999997</v>
      </c>
      <c r="W275">
        <v>274</v>
      </c>
      <c r="X275" s="12">
        <v>46099</v>
      </c>
      <c r="Y275" s="13" t="s">
        <v>7</v>
      </c>
      <c r="Z275" s="13">
        <v>75.8</v>
      </c>
    </row>
    <row r="276" spans="1:26" x14ac:dyDescent="0.2">
      <c r="A276">
        <v>275</v>
      </c>
      <c r="B276" s="6">
        <v>45777</v>
      </c>
      <c r="C276" s="7" t="s">
        <v>7</v>
      </c>
      <c r="D276" s="7">
        <v>74.3</v>
      </c>
      <c r="W276">
        <v>275</v>
      </c>
      <c r="X276" s="6">
        <v>45987</v>
      </c>
      <c r="Y276" s="7" t="s">
        <v>7</v>
      </c>
      <c r="Z276" s="7">
        <v>76</v>
      </c>
    </row>
    <row r="277" spans="1:26" x14ac:dyDescent="0.2">
      <c r="A277">
        <v>276</v>
      </c>
      <c r="B277" s="1">
        <v>45777</v>
      </c>
      <c r="C277" t="s">
        <v>7</v>
      </c>
      <c r="D277">
        <v>67.8</v>
      </c>
      <c r="W277">
        <v>276</v>
      </c>
      <c r="X277" s="1">
        <v>45070</v>
      </c>
      <c r="Y277" t="s">
        <v>7</v>
      </c>
      <c r="Z277">
        <v>76.099999999999994</v>
      </c>
    </row>
    <row r="278" spans="1:26" x14ac:dyDescent="0.2">
      <c r="A278">
        <v>277</v>
      </c>
      <c r="B278" s="1">
        <v>45777</v>
      </c>
      <c r="C278" t="s">
        <v>7</v>
      </c>
      <c r="D278">
        <v>72.5</v>
      </c>
      <c r="W278">
        <v>277</v>
      </c>
      <c r="X278" s="1">
        <v>45483</v>
      </c>
      <c r="Y278" t="s">
        <v>7</v>
      </c>
      <c r="Z278">
        <v>76.099999999999994</v>
      </c>
    </row>
    <row r="279" spans="1:26" x14ac:dyDescent="0.2">
      <c r="A279">
        <v>278</v>
      </c>
      <c r="B279" s="1">
        <v>45777</v>
      </c>
      <c r="C279" t="s">
        <v>7</v>
      </c>
      <c r="D279">
        <v>72.900000000000006</v>
      </c>
      <c r="W279">
        <v>278</v>
      </c>
      <c r="X279" s="1">
        <v>45352</v>
      </c>
      <c r="Y279" t="s">
        <v>7</v>
      </c>
      <c r="Z279">
        <v>76.2</v>
      </c>
    </row>
    <row r="280" spans="1:26" x14ac:dyDescent="0.2">
      <c r="A280">
        <v>279</v>
      </c>
      <c r="B280" s="1">
        <v>45777</v>
      </c>
      <c r="C280" t="s">
        <v>7</v>
      </c>
      <c r="D280">
        <v>72.7</v>
      </c>
      <c r="W280">
        <v>279</v>
      </c>
      <c r="X280" s="1">
        <v>45595</v>
      </c>
      <c r="Y280" t="s">
        <v>7</v>
      </c>
      <c r="Z280">
        <v>76.3</v>
      </c>
    </row>
    <row r="281" spans="1:26" x14ac:dyDescent="0.2">
      <c r="A281">
        <v>280</v>
      </c>
      <c r="B281" s="1">
        <v>45777</v>
      </c>
      <c r="C281" t="s">
        <v>7</v>
      </c>
      <c r="D281">
        <v>66.599999999999994</v>
      </c>
      <c r="W281">
        <v>280</v>
      </c>
      <c r="X281" s="1">
        <v>45819</v>
      </c>
      <c r="Y281" t="s">
        <v>7</v>
      </c>
      <c r="Z281">
        <v>76.3</v>
      </c>
    </row>
    <row r="282" spans="1:26" x14ac:dyDescent="0.2">
      <c r="A282">
        <v>281</v>
      </c>
      <c r="B282" s="1">
        <v>45777</v>
      </c>
      <c r="C282" t="s">
        <v>7</v>
      </c>
      <c r="D282">
        <v>56.2</v>
      </c>
      <c r="W282">
        <v>281</v>
      </c>
      <c r="X282" s="1">
        <v>45847</v>
      </c>
      <c r="Y282" t="s">
        <v>7</v>
      </c>
      <c r="Z282">
        <v>76.3</v>
      </c>
    </row>
    <row r="283" spans="1:26" x14ac:dyDescent="0.2">
      <c r="A283">
        <v>282</v>
      </c>
      <c r="B283" s="1">
        <v>45791</v>
      </c>
      <c r="C283" t="s">
        <v>7</v>
      </c>
      <c r="D283">
        <v>76.599999999999994</v>
      </c>
      <c r="W283">
        <v>282</v>
      </c>
      <c r="X283" s="1">
        <v>45945</v>
      </c>
      <c r="Y283" t="s">
        <v>7</v>
      </c>
      <c r="Z283">
        <v>76.3</v>
      </c>
    </row>
    <row r="284" spans="1:26" x14ac:dyDescent="0.2">
      <c r="A284">
        <v>283</v>
      </c>
      <c r="B284" s="1">
        <v>45791</v>
      </c>
      <c r="C284" t="s">
        <v>7</v>
      </c>
      <c r="D284">
        <v>57.8</v>
      </c>
      <c r="W284">
        <v>283</v>
      </c>
      <c r="X284" s="1">
        <v>45693</v>
      </c>
      <c r="Y284" t="s">
        <v>7</v>
      </c>
      <c r="Z284">
        <v>76.400000000000006</v>
      </c>
    </row>
    <row r="285" spans="1:26" x14ac:dyDescent="0.2">
      <c r="A285">
        <v>284</v>
      </c>
      <c r="B285" s="1">
        <v>45791</v>
      </c>
      <c r="C285" t="s">
        <v>7</v>
      </c>
      <c r="D285">
        <v>58.7</v>
      </c>
      <c r="W285">
        <v>284</v>
      </c>
      <c r="X285" s="1">
        <v>45861</v>
      </c>
      <c r="Y285" t="s">
        <v>7</v>
      </c>
      <c r="Z285">
        <v>76.5</v>
      </c>
    </row>
    <row r="286" spans="1:26" x14ac:dyDescent="0.2">
      <c r="A286">
        <v>285</v>
      </c>
      <c r="B286" s="1">
        <v>45791</v>
      </c>
      <c r="C286" t="s">
        <v>7</v>
      </c>
      <c r="D286">
        <v>58.9</v>
      </c>
      <c r="W286">
        <v>285</v>
      </c>
      <c r="X286" s="1">
        <v>45791</v>
      </c>
      <c r="Y286" t="s">
        <v>7</v>
      </c>
      <c r="Z286">
        <v>76.599999999999994</v>
      </c>
    </row>
    <row r="287" spans="1:26" x14ac:dyDescent="0.2">
      <c r="A287">
        <v>286</v>
      </c>
      <c r="B287" s="1">
        <v>45791</v>
      </c>
      <c r="C287" t="s">
        <v>7</v>
      </c>
      <c r="D287">
        <v>72.900000000000006</v>
      </c>
      <c r="W287">
        <v>286</v>
      </c>
      <c r="X287" s="1">
        <v>46085</v>
      </c>
      <c r="Y287" t="s">
        <v>7</v>
      </c>
      <c r="Z287">
        <v>76.599999999999994</v>
      </c>
    </row>
    <row r="288" spans="1:26" x14ac:dyDescent="0.2">
      <c r="A288">
        <v>287</v>
      </c>
      <c r="B288" s="1">
        <v>45791</v>
      </c>
      <c r="C288" t="s">
        <v>7</v>
      </c>
      <c r="D288">
        <v>66.599999999999994</v>
      </c>
      <c r="W288">
        <v>287</v>
      </c>
      <c r="X288" s="1">
        <v>45595</v>
      </c>
      <c r="Y288" t="s">
        <v>7</v>
      </c>
      <c r="Z288">
        <v>76.900000000000006</v>
      </c>
    </row>
    <row r="289" spans="1:26" ht="17" thickBot="1" x14ac:dyDescent="0.25">
      <c r="A289">
        <v>288</v>
      </c>
      <c r="B289" s="12">
        <v>45791</v>
      </c>
      <c r="C289" s="13" t="s">
        <v>7</v>
      </c>
      <c r="D289" s="13">
        <v>72.2</v>
      </c>
      <c r="W289">
        <v>288</v>
      </c>
      <c r="X289" s="12">
        <v>45070</v>
      </c>
      <c r="Y289" s="13" t="s">
        <v>7</v>
      </c>
      <c r="Z289" s="13">
        <v>77</v>
      </c>
    </row>
    <row r="290" spans="1:26" x14ac:dyDescent="0.2">
      <c r="A290">
        <v>289</v>
      </c>
      <c r="B290" s="1">
        <v>45805</v>
      </c>
      <c r="C290" t="s">
        <v>7</v>
      </c>
      <c r="D290">
        <v>66</v>
      </c>
      <c r="W290">
        <v>289</v>
      </c>
      <c r="X290" s="1">
        <v>44872</v>
      </c>
      <c r="Y290" t="s">
        <v>7</v>
      </c>
      <c r="Z290">
        <v>77.099999999999994</v>
      </c>
    </row>
    <row r="291" spans="1:26" x14ac:dyDescent="0.2">
      <c r="A291">
        <v>290</v>
      </c>
      <c r="B291" s="1">
        <v>45805</v>
      </c>
      <c r="C291" t="s">
        <v>7</v>
      </c>
      <c r="D291">
        <v>71</v>
      </c>
      <c r="W291">
        <v>290</v>
      </c>
      <c r="X291" s="1">
        <v>45315</v>
      </c>
      <c r="Y291" t="s">
        <v>7</v>
      </c>
      <c r="Z291">
        <v>77.099999999999994</v>
      </c>
    </row>
    <row r="292" spans="1:26" x14ac:dyDescent="0.2">
      <c r="A292">
        <v>291</v>
      </c>
      <c r="B292" s="1">
        <v>45805</v>
      </c>
      <c r="C292" t="s">
        <v>7</v>
      </c>
      <c r="D292">
        <v>31.2</v>
      </c>
      <c r="W292">
        <v>291</v>
      </c>
      <c r="X292" s="1">
        <v>45315</v>
      </c>
      <c r="Y292" t="s">
        <v>7</v>
      </c>
      <c r="Z292">
        <v>77.2</v>
      </c>
    </row>
    <row r="293" spans="1:26" x14ac:dyDescent="0.2">
      <c r="A293">
        <v>292</v>
      </c>
      <c r="B293" s="1">
        <v>45805</v>
      </c>
      <c r="C293" t="s">
        <v>7</v>
      </c>
      <c r="D293">
        <v>89.3</v>
      </c>
      <c r="W293">
        <v>292</v>
      </c>
      <c r="X293" s="35">
        <v>45917</v>
      </c>
      <c r="Y293" s="36" t="s">
        <v>7</v>
      </c>
      <c r="Z293" s="36">
        <v>77.2</v>
      </c>
    </row>
    <row r="294" spans="1:26" x14ac:dyDescent="0.2">
      <c r="A294">
        <v>293</v>
      </c>
      <c r="B294" s="1">
        <v>45805</v>
      </c>
      <c r="C294" t="s">
        <v>7</v>
      </c>
      <c r="D294">
        <v>86.3</v>
      </c>
      <c r="W294">
        <v>293</v>
      </c>
      <c r="X294" s="1">
        <v>45749</v>
      </c>
      <c r="Y294" t="s">
        <v>7</v>
      </c>
      <c r="Z294">
        <v>77.5</v>
      </c>
    </row>
    <row r="295" spans="1:26" x14ac:dyDescent="0.2">
      <c r="A295">
        <v>294</v>
      </c>
      <c r="B295" s="1">
        <v>45805</v>
      </c>
      <c r="C295" t="s">
        <v>7</v>
      </c>
      <c r="D295">
        <v>88.4</v>
      </c>
      <c r="W295">
        <v>294</v>
      </c>
      <c r="X295" s="1">
        <v>46099</v>
      </c>
      <c r="Y295" t="s">
        <v>7</v>
      </c>
      <c r="Z295">
        <v>77.599999999999994</v>
      </c>
    </row>
    <row r="296" spans="1:26" x14ac:dyDescent="0.2">
      <c r="A296">
        <v>295</v>
      </c>
      <c r="B296" s="1">
        <v>45805</v>
      </c>
      <c r="C296" t="s">
        <v>7</v>
      </c>
      <c r="D296">
        <v>94.1</v>
      </c>
      <c r="W296">
        <v>295</v>
      </c>
      <c r="X296" s="1">
        <v>46113</v>
      </c>
      <c r="Y296" t="s">
        <v>7</v>
      </c>
      <c r="Z296">
        <v>77.599999999999994</v>
      </c>
    </row>
    <row r="297" spans="1:26" x14ac:dyDescent="0.2">
      <c r="A297">
        <v>296</v>
      </c>
      <c r="B297" s="1">
        <v>45805</v>
      </c>
      <c r="C297" t="s">
        <v>7</v>
      </c>
      <c r="D297">
        <v>56.1</v>
      </c>
      <c r="W297">
        <v>296</v>
      </c>
      <c r="X297" s="1">
        <v>45014</v>
      </c>
      <c r="Y297" t="s">
        <v>7</v>
      </c>
      <c r="Z297">
        <v>77.7</v>
      </c>
    </row>
    <row r="298" spans="1:26" x14ac:dyDescent="0.2">
      <c r="A298">
        <v>297</v>
      </c>
      <c r="B298" s="1">
        <v>45819</v>
      </c>
      <c r="C298" t="s">
        <v>7</v>
      </c>
      <c r="D298">
        <v>74.099999999999994</v>
      </c>
      <c r="W298">
        <v>297</v>
      </c>
      <c r="X298" s="1">
        <v>45833</v>
      </c>
      <c r="Y298" t="s">
        <v>7</v>
      </c>
      <c r="Z298">
        <v>77.7</v>
      </c>
    </row>
    <row r="299" spans="1:26" x14ac:dyDescent="0.2">
      <c r="A299">
        <v>298</v>
      </c>
      <c r="B299" s="1">
        <v>45819</v>
      </c>
      <c r="C299" t="s">
        <v>7</v>
      </c>
      <c r="D299">
        <v>76.3</v>
      </c>
      <c r="W299">
        <v>298</v>
      </c>
      <c r="X299" s="1">
        <v>45245</v>
      </c>
      <c r="Y299" t="s">
        <v>7</v>
      </c>
      <c r="Z299">
        <v>77.8</v>
      </c>
    </row>
    <row r="300" spans="1:26" x14ac:dyDescent="0.2">
      <c r="A300">
        <v>299</v>
      </c>
      <c r="B300" s="1">
        <v>45833</v>
      </c>
      <c r="C300" t="s">
        <v>7</v>
      </c>
      <c r="D300">
        <v>75.7</v>
      </c>
      <c r="W300">
        <v>299</v>
      </c>
      <c r="X300" s="1">
        <v>45945</v>
      </c>
      <c r="Y300" t="s">
        <v>7</v>
      </c>
      <c r="Z300">
        <v>77.900000000000006</v>
      </c>
    </row>
    <row r="301" spans="1:26" x14ac:dyDescent="0.2">
      <c r="A301">
        <v>300</v>
      </c>
      <c r="B301" s="1">
        <v>45833</v>
      </c>
      <c r="C301" t="s">
        <v>7</v>
      </c>
      <c r="D301">
        <v>70.2</v>
      </c>
      <c r="W301">
        <v>300</v>
      </c>
      <c r="X301" s="1">
        <v>45553</v>
      </c>
      <c r="Y301" t="s">
        <v>7</v>
      </c>
      <c r="Z301">
        <v>78</v>
      </c>
    </row>
    <row r="302" spans="1:26" x14ac:dyDescent="0.2">
      <c r="A302">
        <v>301</v>
      </c>
      <c r="B302" s="1">
        <v>45833</v>
      </c>
      <c r="C302" t="s">
        <v>7</v>
      </c>
      <c r="D302">
        <v>77.7</v>
      </c>
      <c r="W302">
        <v>301</v>
      </c>
      <c r="X302" s="1">
        <v>45014</v>
      </c>
      <c r="Y302" t="s">
        <v>7</v>
      </c>
      <c r="Z302">
        <v>78.099999999999994</v>
      </c>
    </row>
    <row r="303" spans="1:26" x14ac:dyDescent="0.2">
      <c r="A303">
        <v>302</v>
      </c>
      <c r="B303" s="1">
        <v>45833</v>
      </c>
      <c r="C303" t="s">
        <v>7</v>
      </c>
      <c r="D303">
        <v>81.400000000000006</v>
      </c>
      <c r="W303">
        <v>302</v>
      </c>
      <c r="X303" s="1">
        <v>44916</v>
      </c>
      <c r="Y303" t="s">
        <v>7</v>
      </c>
      <c r="Z303">
        <v>78.3</v>
      </c>
    </row>
    <row r="304" spans="1:26" x14ac:dyDescent="0.2">
      <c r="A304">
        <v>303</v>
      </c>
      <c r="B304" s="1">
        <v>45833</v>
      </c>
      <c r="C304" t="s">
        <v>7</v>
      </c>
      <c r="D304">
        <v>90.3</v>
      </c>
      <c r="W304">
        <v>303</v>
      </c>
      <c r="X304" s="1">
        <v>45315</v>
      </c>
      <c r="Y304" t="s">
        <v>7</v>
      </c>
      <c r="Z304">
        <v>78.3</v>
      </c>
    </row>
    <row r="305" spans="1:26" x14ac:dyDescent="0.2">
      <c r="A305">
        <v>304</v>
      </c>
      <c r="B305" s="1">
        <v>45833</v>
      </c>
      <c r="C305" t="s">
        <v>7</v>
      </c>
      <c r="D305">
        <v>79.400000000000006</v>
      </c>
      <c r="W305">
        <v>304</v>
      </c>
      <c r="X305" s="1">
        <v>45721</v>
      </c>
      <c r="Y305" t="s">
        <v>7</v>
      </c>
      <c r="Z305">
        <v>78.3</v>
      </c>
    </row>
    <row r="306" spans="1:26" x14ac:dyDescent="0.2">
      <c r="A306">
        <v>305</v>
      </c>
      <c r="B306" s="1">
        <v>45833</v>
      </c>
      <c r="C306" t="s">
        <v>7</v>
      </c>
      <c r="D306">
        <v>81.5</v>
      </c>
      <c r="W306">
        <v>305</v>
      </c>
      <c r="X306" s="1">
        <v>45042</v>
      </c>
      <c r="Y306" t="s">
        <v>7</v>
      </c>
      <c r="Z306">
        <v>78.900000000000006</v>
      </c>
    </row>
    <row r="307" spans="1:26" x14ac:dyDescent="0.2">
      <c r="A307">
        <v>306</v>
      </c>
      <c r="B307" s="1">
        <v>45847</v>
      </c>
      <c r="C307" t="s">
        <v>7</v>
      </c>
      <c r="D307">
        <v>76.3</v>
      </c>
      <c r="W307">
        <v>306</v>
      </c>
      <c r="X307" s="1">
        <v>45567</v>
      </c>
      <c r="Y307" t="s">
        <v>7</v>
      </c>
      <c r="Z307">
        <v>79</v>
      </c>
    </row>
    <row r="308" spans="1:26" x14ac:dyDescent="0.2">
      <c r="A308">
        <v>307</v>
      </c>
      <c r="B308" s="1">
        <v>45847</v>
      </c>
      <c r="C308" t="s">
        <v>7</v>
      </c>
      <c r="D308">
        <v>79.400000000000006</v>
      </c>
      <c r="W308">
        <v>307</v>
      </c>
      <c r="X308" s="1">
        <v>45042</v>
      </c>
      <c r="Y308" t="s">
        <v>7</v>
      </c>
      <c r="Z308">
        <v>79.2</v>
      </c>
    </row>
    <row r="309" spans="1:26" x14ac:dyDescent="0.2">
      <c r="A309">
        <v>308</v>
      </c>
      <c r="B309" s="1">
        <v>45847</v>
      </c>
      <c r="C309" t="s">
        <v>7</v>
      </c>
      <c r="D309">
        <v>66.2</v>
      </c>
      <c r="W309">
        <v>308</v>
      </c>
      <c r="X309" s="1">
        <v>45161</v>
      </c>
      <c r="Y309" t="s">
        <v>7</v>
      </c>
      <c r="Z309">
        <v>79.2</v>
      </c>
    </row>
    <row r="310" spans="1:26" x14ac:dyDescent="0.2">
      <c r="A310">
        <v>309</v>
      </c>
      <c r="B310" s="1">
        <v>45847</v>
      </c>
      <c r="C310" t="s">
        <v>7</v>
      </c>
      <c r="D310">
        <v>55.5</v>
      </c>
      <c r="W310">
        <v>309</v>
      </c>
      <c r="X310" s="1">
        <v>45833</v>
      </c>
      <c r="Y310" t="s">
        <v>7</v>
      </c>
      <c r="Z310">
        <v>79.400000000000006</v>
      </c>
    </row>
    <row r="311" spans="1:26" x14ac:dyDescent="0.2">
      <c r="A311">
        <v>310</v>
      </c>
      <c r="B311" s="1">
        <v>45847</v>
      </c>
      <c r="C311" t="s">
        <v>7</v>
      </c>
      <c r="D311">
        <v>75.2</v>
      </c>
      <c r="W311">
        <v>310</v>
      </c>
      <c r="X311" s="1">
        <v>45847</v>
      </c>
      <c r="Y311" t="s">
        <v>7</v>
      </c>
      <c r="Z311">
        <v>79.400000000000006</v>
      </c>
    </row>
    <row r="312" spans="1:26" x14ac:dyDescent="0.2">
      <c r="A312">
        <v>311</v>
      </c>
      <c r="B312" s="1">
        <v>45847</v>
      </c>
      <c r="C312" t="s">
        <v>7</v>
      </c>
      <c r="D312">
        <v>75.7</v>
      </c>
      <c r="W312">
        <v>311</v>
      </c>
      <c r="X312" s="1">
        <v>45315</v>
      </c>
      <c r="Y312" t="s">
        <v>7</v>
      </c>
      <c r="Z312">
        <v>79.599999999999994</v>
      </c>
    </row>
    <row r="313" spans="1:26" x14ac:dyDescent="0.2">
      <c r="A313">
        <v>312</v>
      </c>
      <c r="B313" s="1">
        <v>45847</v>
      </c>
      <c r="C313" t="s">
        <v>7</v>
      </c>
      <c r="D313">
        <v>65.8</v>
      </c>
      <c r="W313">
        <v>312</v>
      </c>
      <c r="X313" s="1">
        <v>45609</v>
      </c>
      <c r="Y313" t="s">
        <v>7</v>
      </c>
      <c r="Z313">
        <v>79.599999999999994</v>
      </c>
    </row>
    <row r="314" spans="1:26" x14ac:dyDescent="0.2">
      <c r="A314">
        <v>313</v>
      </c>
      <c r="B314" s="1">
        <v>45847</v>
      </c>
      <c r="C314" t="s">
        <v>7</v>
      </c>
      <c r="D314">
        <v>69.5</v>
      </c>
      <c r="W314">
        <v>313</v>
      </c>
      <c r="X314" s="1">
        <v>45042</v>
      </c>
      <c r="Y314" t="s">
        <v>7</v>
      </c>
      <c r="Z314">
        <v>79.8</v>
      </c>
    </row>
    <row r="315" spans="1:26" ht="17" thickBot="1" x14ac:dyDescent="0.25">
      <c r="A315">
        <v>314</v>
      </c>
      <c r="B315" s="1">
        <v>45847</v>
      </c>
      <c r="C315" t="s">
        <v>7</v>
      </c>
      <c r="D315">
        <v>69.7</v>
      </c>
      <c r="W315">
        <v>314</v>
      </c>
      <c r="X315" s="1">
        <v>45070</v>
      </c>
      <c r="Y315" t="s">
        <v>7</v>
      </c>
      <c r="Z315">
        <v>80</v>
      </c>
    </row>
    <row r="316" spans="1:26" x14ac:dyDescent="0.2">
      <c r="A316">
        <v>315</v>
      </c>
      <c r="B316" s="6">
        <v>45861</v>
      </c>
      <c r="C316" s="7" t="s">
        <v>7</v>
      </c>
      <c r="D316" s="7">
        <v>74.599999999999994</v>
      </c>
      <c r="W316">
        <v>315</v>
      </c>
      <c r="X316" s="1">
        <v>45567</v>
      </c>
      <c r="Y316" t="s">
        <v>7</v>
      </c>
      <c r="Z316">
        <v>80</v>
      </c>
    </row>
    <row r="317" spans="1:26" x14ac:dyDescent="0.2">
      <c r="A317">
        <v>316</v>
      </c>
      <c r="B317" s="1">
        <v>45861</v>
      </c>
      <c r="C317" t="s">
        <v>7</v>
      </c>
      <c r="D317">
        <v>60.1</v>
      </c>
      <c r="W317">
        <v>316</v>
      </c>
      <c r="X317" s="1">
        <v>45567</v>
      </c>
      <c r="Y317" t="s">
        <v>7</v>
      </c>
      <c r="Z317">
        <v>80.099999999999994</v>
      </c>
    </row>
    <row r="318" spans="1:26" x14ac:dyDescent="0.2">
      <c r="A318">
        <v>317</v>
      </c>
      <c r="B318" s="1">
        <v>45861</v>
      </c>
      <c r="C318" t="s">
        <v>7</v>
      </c>
      <c r="D318">
        <v>76.5</v>
      </c>
      <c r="W318">
        <v>317</v>
      </c>
      <c r="X318" s="1">
        <v>45721</v>
      </c>
      <c r="Y318" t="s">
        <v>7</v>
      </c>
      <c r="Z318">
        <v>80.2</v>
      </c>
    </row>
    <row r="319" spans="1:26" x14ac:dyDescent="0.2">
      <c r="A319">
        <v>318</v>
      </c>
      <c r="B319" s="1">
        <v>45861</v>
      </c>
      <c r="C319" t="s">
        <v>7</v>
      </c>
      <c r="D319">
        <v>65.2</v>
      </c>
      <c r="W319">
        <v>318</v>
      </c>
      <c r="X319" s="1">
        <v>45014</v>
      </c>
      <c r="Y319" t="s">
        <v>7</v>
      </c>
      <c r="Z319">
        <v>80.3</v>
      </c>
    </row>
    <row r="320" spans="1:26" x14ac:dyDescent="0.2">
      <c r="A320">
        <v>319</v>
      </c>
      <c r="B320" s="1">
        <v>45861</v>
      </c>
      <c r="C320" t="s">
        <v>7</v>
      </c>
      <c r="D320">
        <v>65</v>
      </c>
      <c r="W320">
        <v>319</v>
      </c>
      <c r="X320" s="1">
        <v>45518</v>
      </c>
      <c r="Y320" t="s">
        <v>7</v>
      </c>
      <c r="Z320">
        <v>80.599999999999994</v>
      </c>
    </row>
    <row r="321" spans="1:26" x14ac:dyDescent="0.2">
      <c r="A321">
        <v>320</v>
      </c>
      <c r="B321" s="1">
        <v>45861</v>
      </c>
      <c r="C321" t="s">
        <v>7</v>
      </c>
      <c r="D321">
        <v>90.5</v>
      </c>
      <c r="W321">
        <v>320</v>
      </c>
      <c r="X321" s="1">
        <v>45987</v>
      </c>
      <c r="Y321" t="s">
        <v>7</v>
      </c>
      <c r="Z321">
        <v>81.3</v>
      </c>
    </row>
    <row r="322" spans="1:26" x14ac:dyDescent="0.2">
      <c r="A322">
        <v>321</v>
      </c>
      <c r="B322" s="1">
        <v>45889</v>
      </c>
      <c r="C322" t="s">
        <v>7</v>
      </c>
      <c r="D322">
        <v>75.2</v>
      </c>
      <c r="W322">
        <v>321</v>
      </c>
      <c r="X322" s="1">
        <v>45567</v>
      </c>
      <c r="Y322" t="s">
        <v>7</v>
      </c>
      <c r="Z322">
        <v>81.400000000000006</v>
      </c>
    </row>
    <row r="323" spans="1:26" x14ac:dyDescent="0.2">
      <c r="A323">
        <v>322</v>
      </c>
      <c r="B323" s="1">
        <v>45889</v>
      </c>
      <c r="C323" t="s">
        <v>7</v>
      </c>
      <c r="D323">
        <v>75.3</v>
      </c>
      <c r="W323">
        <v>322</v>
      </c>
      <c r="X323" s="1">
        <v>45833</v>
      </c>
      <c r="Y323" t="s">
        <v>7</v>
      </c>
      <c r="Z323">
        <v>81.400000000000006</v>
      </c>
    </row>
    <row r="324" spans="1:26" x14ac:dyDescent="0.2">
      <c r="A324">
        <v>323</v>
      </c>
      <c r="B324" s="1">
        <v>45903</v>
      </c>
      <c r="C324" t="s">
        <v>7</v>
      </c>
      <c r="D324">
        <v>85.5</v>
      </c>
      <c r="W324">
        <v>323</v>
      </c>
      <c r="X324" s="1">
        <v>45833</v>
      </c>
      <c r="Y324" t="s">
        <v>7</v>
      </c>
      <c r="Z324">
        <v>81.5</v>
      </c>
    </row>
    <row r="325" spans="1:26" x14ac:dyDescent="0.2">
      <c r="A325">
        <v>324</v>
      </c>
      <c r="B325" s="1">
        <v>45903</v>
      </c>
      <c r="C325" t="s">
        <v>7</v>
      </c>
      <c r="D325">
        <v>53.7</v>
      </c>
      <c r="W325">
        <v>324</v>
      </c>
      <c r="X325" s="1">
        <v>45014</v>
      </c>
      <c r="Y325" t="s">
        <v>7</v>
      </c>
      <c r="Z325">
        <v>81.599999999999994</v>
      </c>
    </row>
    <row r="326" spans="1:26" x14ac:dyDescent="0.2">
      <c r="A326">
        <v>325</v>
      </c>
      <c r="B326" s="1">
        <v>45903</v>
      </c>
      <c r="C326" t="s">
        <v>7</v>
      </c>
      <c r="D326">
        <v>97.1</v>
      </c>
      <c r="W326">
        <v>325</v>
      </c>
      <c r="X326" s="1">
        <v>44944</v>
      </c>
      <c r="Y326" t="s">
        <v>7</v>
      </c>
      <c r="Z326">
        <v>81.7</v>
      </c>
    </row>
    <row r="327" spans="1:26" x14ac:dyDescent="0.2">
      <c r="A327">
        <v>326</v>
      </c>
      <c r="B327" s="1">
        <v>45917</v>
      </c>
      <c r="C327" t="s">
        <v>7</v>
      </c>
      <c r="D327">
        <v>74.099999999999994</v>
      </c>
      <c r="W327">
        <v>326</v>
      </c>
      <c r="X327" s="1">
        <v>46113</v>
      </c>
      <c r="Y327" t="s">
        <v>7</v>
      </c>
      <c r="Z327">
        <v>81.8</v>
      </c>
    </row>
    <row r="328" spans="1:26" x14ac:dyDescent="0.2">
      <c r="A328">
        <v>327</v>
      </c>
      <c r="B328" s="1">
        <v>45917</v>
      </c>
      <c r="C328" t="s">
        <v>7</v>
      </c>
      <c r="D328">
        <v>68.5</v>
      </c>
      <c r="W328">
        <v>327</v>
      </c>
      <c r="X328" s="35">
        <v>45679</v>
      </c>
      <c r="Y328" s="36" t="s">
        <v>7</v>
      </c>
      <c r="Z328" s="36">
        <v>82.2</v>
      </c>
    </row>
    <row r="329" spans="1:26" x14ac:dyDescent="0.2">
      <c r="A329">
        <v>328</v>
      </c>
      <c r="B329" s="1">
        <v>45917</v>
      </c>
      <c r="C329" t="s">
        <v>7</v>
      </c>
      <c r="D329">
        <v>75.3</v>
      </c>
      <c r="W329">
        <v>328</v>
      </c>
      <c r="X329" s="1">
        <v>44937</v>
      </c>
      <c r="Y329" t="s">
        <v>7</v>
      </c>
      <c r="Z329">
        <v>82.3</v>
      </c>
    </row>
    <row r="330" spans="1:26" x14ac:dyDescent="0.2">
      <c r="A330">
        <v>329</v>
      </c>
      <c r="B330" s="1">
        <v>45917</v>
      </c>
      <c r="C330" t="s">
        <v>7</v>
      </c>
      <c r="D330">
        <v>77.2</v>
      </c>
      <c r="W330">
        <v>329</v>
      </c>
      <c r="X330" s="1">
        <v>45553</v>
      </c>
      <c r="Y330" t="s">
        <v>7</v>
      </c>
      <c r="Z330">
        <v>82.3</v>
      </c>
    </row>
    <row r="331" spans="1:26" ht="17" thickBot="1" x14ac:dyDescent="0.25">
      <c r="A331">
        <v>330</v>
      </c>
      <c r="B331" s="1">
        <v>45917</v>
      </c>
      <c r="C331" t="s">
        <v>7</v>
      </c>
      <c r="D331">
        <v>72</v>
      </c>
      <c r="W331">
        <v>330</v>
      </c>
      <c r="X331" s="1">
        <v>44909</v>
      </c>
      <c r="Y331" t="s">
        <v>7</v>
      </c>
      <c r="Z331">
        <v>82.4</v>
      </c>
    </row>
    <row r="332" spans="1:26" x14ac:dyDescent="0.2">
      <c r="A332">
        <v>331</v>
      </c>
      <c r="B332" s="6">
        <v>45931</v>
      </c>
      <c r="C332" s="7" t="s">
        <v>7</v>
      </c>
      <c r="D332" s="7">
        <v>94.5</v>
      </c>
      <c r="W332">
        <v>331</v>
      </c>
      <c r="X332" s="6">
        <v>45070</v>
      </c>
      <c r="Y332" s="7" t="s">
        <v>7</v>
      </c>
      <c r="Z332" s="7">
        <v>82.4</v>
      </c>
    </row>
    <row r="333" spans="1:26" x14ac:dyDescent="0.2">
      <c r="A333">
        <v>332</v>
      </c>
      <c r="B333" s="1">
        <v>45931</v>
      </c>
      <c r="C333" t="s">
        <v>7</v>
      </c>
      <c r="D333">
        <v>74.5</v>
      </c>
      <c r="W333">
        <v>332</v>
      </c>
      <c r="X333" s="1">
        <v>45352</v>
      </c>
      <c r="Y333" t="s">
        <v>7</v>
      </c>
      <c r="Z333">
        <v>82.4</v>
      </c>
    </row>
    <row r="334" spans="1:26" x14ac:dyDescent="0.2">
      <c r="A334">
        <v>333</v>
      </c>
      <c r="B334" s="1">
        <v>45931</v>
      </c>
      <c r="C334" t="s">
        <v>7</v>
      </c>
      <c r="D334">
        <v>69.900000000000006</v>
      </c>
      <c r="W334">
        <v>333</v>
      </c>
      <c r="X334" s="1">
        <v>45567</v>
      </c>
      <c r="Y334" t="s">
        <v>7</v>
      </c>
      <c r="Z334">
        <v>83</v>
      </c>
    </row>
    <row r="335" spans="1:26" x14ac:dyDescent="0.2">
      <c r="A335">
        <v>334</v>
      </c>
      <c r="B335" s="1">
        <v>45931</v>
      </c>
      <c r="C335" t="s">
        <v>7</v>
      </c>
      <c r="D335">
        <v>73.5</v>
      </c>
      <c r="W335">
        <v>334</v>
      </c>
      <c r="X335" s="1">
        <v>45595</v>
      </c>
      <c r="Y335" t="s">
        <v>7</v>
      </c>
      <c r="Z335">
        <v>83</v>
      </c>
    </row>
    <row r="336" spans="1:26" x14ac:dyDescent="0.2">
      <c r="A336">
        <v>335</v>
      </c>
      <c r="B336" s="1">
        <v>45931</v>
      </c>
      <c r="C336" t="s">
        <v>7</v>
      </c>
      <c r="D336">
        <v>71.400000000000006</v>
      </c>
      <c r="W336">
        <v>335</v>
      </c>
      <c r="X336" s="1">
        <v>45352</v>
      </c>
      <c r="Y336" t="s">
        <v>7</v>
      </c>
      <c r="Z336">
        <v>83.6</v>
      </c>
    </row>
    <row r="337" spans="1:26" x14ac:dyDescent="0.2">
      <c r="A337">
        <v>336</v>
      </c>
      <c r="B337" s="1">
        <v>45945</v>
      </c>
      <c r="C337" t="s">
        <v>7</v>
      </c>
      <c r="D337">
        <v>88.8</v>
      </c>
      <c r="W337">
        <v>336</v>
      </c>
      <c r="X337" s="1">
        <v>44872</v>
      </c>
      <c r="Y337" t="s">
        <v>7</v>
      </c>
      <c r="Z337">
        <v>83.9</v>
      </c>
    </row>
    <row r="338" spans="1:26" x14ac:dyDescent="0.2">
      <c r="A338">
        <v>337</v>
      </c>
      <c r="B338" s="1">
        <v>45945</v>
      </c>
      <c r="C338" t="s">
        <v>7</v>
      </c>
      <c r="D338">
        <v>65</v>
      </c>
      <c r="W338">
        <v>337</v>
      </c>
      <c r="X338" s="1">
        <v>45042</v>
      </c>
      <c r="Y338" t="s">
        <v>7</v>
      </c>
      <c r="Z338">
        <v>84</v>
      </c>
    </row>
    <row r="339" spans="1:26" x14ac:dyDescent="0.2">
      <c r="A339">
        <v>338</v>
      </c>
      <c r="B339" s="1">
        <v>45945</v>
      </c>
      <c r="C339" t="s">
        <v>7</v>
      </c>
      <c r="D339">
        <v>76.3</v>
      </c>
      <c r="W339">
        <v>338</v>
      </c>
      <c r="X339" s="1">
        <v>45161</v>
      </c>
      <c r="Y339" t="s">
        <v>7</v>
      </c>
      <c r="Z339">
        <v>84</v>
      </c>
    </row>
    <row r="340" spans="1:26" x14ac:dyDescent="0.2">
      <c r="A340">
        <v>339</v>
      </c>
      <c r="B340" s="1">
        <v>45945</v>
      </c>
      <c r="C340" t="s">
        <v>7</v>
      </c>
      <c r="D340">
        <v>67.099999999999994</v>
      </c>
      <c r="W340">
        <v>339</v>
      </c>
      <c r="X340" s="1">
        <v>46099</v>
      </c>
      <c r="Y340" t="s">
        <v>7</v>
      </c>
      <c r="Z340">
        <v>84.1</v>
      </c>
    </row>
    <row r="341" spans="1:26" x14ac:dyDescent="0.2">
      <c r="A341">
        <v>340</v>
      </c>
      <c r="B341" s="1">
        <v>45945</v>
      </c>
      <c r="C341" t="s">
        <v>7</v>
      </c>
      <c r="D341">
        <v>72.099999999999994</v>
      </c>
      <c r="W341">
        <v>340</v>
      </c>
      <c r="X341" s="1">
        <v>44937</v>
      </c>
      <c r="Y341" t="s">
        <v>7</v>
      </c>
      <c r="Z341">
        <v>84.6</v>
      </c>
    </row>
    <row r="342" spans="1:26" x14ac:dyDescent="0.2">
      <c r="A342">
        <v>341</v>
      </c>
      <c r="B342" s="1">
        <v>45945</v>
      </c>
      <c r="C342" t="s">
        <v>7</v>
      </c>
      <c r="D342">
        <v>77.900000000000006</v>
      </c>
      <c r="W342">
        <v>341</v>
      </c>
      <c r="X342" s="1">
        <v>45735</v>
      </c>
      <c r="Y342" t="s">
        <v>7</v>
      </c>
      <c r="Z342">
        <v>84.9</v>
      </c>
    </row>
    <row r="343" spans="1:26" x14ac:dyDescent="0.2">
      <c r="A343">
        <v>342</v>
      </c>
      <c r="B343" s="1">
        <v>45959</v>
      </c>
      <c r="C343" t="s">
        <v>7</v>
      </c>
      <c r="D343">
        <v>89.8</v>
      </c>
      <c r="W343">
        <v>342</v>
      </c>
      <c r="X343" s="1">
        <v>46057</v>
      </c>
      <c r="Y343" t="s">
        <v>593</v>
      </c>
      <c r="Z343">
        <v>85.3</v>
      </c>
    </row>
    <row r="344" spans="1:26" x14ac:dyDescent="0.2">
      <c r="A344">
        <v>343</v>
      </c>
      <c r="B344" s="1">
        <v>45973</v>
      </c>
      <c r="C344" t="s">
        <v>7</v>
      </c>
      <c r="D344">
        <v>72.900000000000006</v>
      </c>
      <c r="W344">
        <v>343</v>
      </c>
      <c r="X344" s="1">
        <v>45903</v>
      </c>
      <c r="Y344" t="s">
        <v>7</v>
      </c>
      <c r="Z344">
        <v>85.5</v>
      </c>
    </row>
    <row r="345" spans="1:26" x14ac:dyDescent="0.2">
      <c r="A345">
        <v>344</v>
      </c>
      <c r="B345" s="1">
        <v>45973</v>
      </c>
      <c r="C345" t="s">
        <v>7</v>
      </c>
      <c r="D345">
        <v>67.7</v>
      </c>
      <c r="W345">
        <v>344</v>
      </c>
      <c r="X345" s="1">
        <v>45042</v>
      </c>
      <c r="Y345" t="s">
        <v>7</v>
      </c>
      <c r="Z345">
        <v>85.7</v>
      </c>
    </row>
    <row r="346" spans="1:26" x14ac:dyDescent="0.2">
      <c r="A346">
        <v>345</v>
      </c>
      <c r="B346" s="1">
        <v>45973</v>
      </c>
      <c r="C346" t="s">
        <v>7</v>
      </c>
      <c r="D346">
        <v>71.400000000000006</v>
      </c>
      <c r="W346">
        <v>345</v>
      </c>
      <c r="X346" s="1">
        <v>45070</v>
      </c>
      <c r="Y346" t="s">
        <v>7</v>
      </c>
      <c r="Z346">
        <v>86.1</v>
      </c>
    </row>
    <row r="347" spans="1:26" x14ac:dyDescent="0.2">
      <c r="A347">
        <v>346</v>
      </c>
      <c r="B347" s="1">
        <v>45987</v>
      </c>
      <c r="C347" t="s">
        <v>7</v>
      </c>
      <c r="D347">
        <v>63.4</v>
      </c>
      <c r="W347">
        <v>346</v>
      </c>
      <c r="X347" s="1">
        <v>46113</v>
      </c>
      <c r="Y347" t="s">
        <v>7</v>
      </c>
      <c r="Z347">
        <v>86.2</v>
      </c>
    </row>
    <row r="348" spans="1:26" x14ac:dyDescent="0.2">
      <c r="A348">
        <v>347</v>
      </c>
      <c r="B348" s="1">
        <v>45987</v>
      </c>
      <c r="C348" t="s">
        <v>7</v>
      </c>
      <c r="D348">
        <v>66.3</v>
      </c>
      <c r="W348">
        <v>347</v>
      </c>
      <c r="X348" s="1">
        <v>45805</v>
      </c>
      <c r="Y348" t="s">
        <v>7</v>
      </c>
      <c r="Z348">
        <v>86.3</v>
      </c>
    </row>
    <row r="349" spans="1:26" x14ac:dyDescent="0.2">
      <c r="A349">
        <v>348</v>
      </c>
      <c r="B349" s="1">
        <v>45987</v>
      </c>
      <c r="C349" t="s">
        <v>7</v>
      </c>
      <c r="D349">
        <v>76</v>
      </c>
      <c r="W349">
        <v>348</v>
      </c>
      <c r="X349" s="1">
        <v>46113</v>
      </c>
      <c r="Y349" t="s">
        <v>7</v>
      </c>
      <c r="Z349">
        <v>86.3</v>
      </c>
    </row>
    <row r="350" spans="1:26" x14ac:dyDescent="0.2">
      <c r="A350">
        <v>349</v>
      </c>
      <c r="B350" s="1">
        <v>45987</v>
      </c>
      <c r="C350" t="s">
        <v>7</v>
      </c>
      <c r="D350">
        <v>69.5</v>
      </c>
      <c r="W350">
        <v>349</v>
      </c>
      <c r="X350" s="1">
        <v>45161</v>
      </c>
      <c r="Y350" t="s">
        <v>7</v>
      </c>
      <c r="Z350">
        <v>86.5</v>
      </c>
    </row>
    <row r="351" spans="1:26" x14ac:dyDescent="0.2">
      <c r="A351">
        <v>350</v>
      </c>
      <c r="B351" s="1">
        <v>45987</v>
      </c>
      <c r="C351" t="s">
        <v>7</v>
      </c>
      <c r="D351">
        <v>74.900000000000006</v>
      </c>
      <c r="W351">
        <v>350</v>
      </c>
      <c r="X351" s="1">
        <v>45987</v>
      </c>
      <c r="Y351" t="s">
        <v>7</v>
      </c>
      <c r="Z351">
        <v>87.6</v>
      </c>
    </row>
    <row r="352" spans="1:26" x14ac:dyDescent="0.2">
      <c r="A352">
        <v>351</v>
      </c>
      <c r="B352" s="1">
        <v>45987</v>
      </c>
      <c r="C352" t="s">
        <v>7</v>
      </c>
      <c r="D352">
        <v>96.5</v>
      </c>
      <c r="W352" s="55">
        <v>351</v>
      </c>
      <c r="X352" s="1">
        <v>45644</v>
      </c>
      <c r="Y352" t="s">
        <v>7</v>
      </c>
      <c r="Z352">
        <v>88</v>
      </c>
    </row>
    <row r="353" spans="1:26" x14ac:dyDescent="0.2">
      <c r="A353">
        <v>352</v>
      </c>
      <c r="B353" s="1">
        <v>45987</v>
      </c>
      <c r="C353" t="s">
        <v>7</v>
      </c>
      <c r="D353">
        <v>72</v>
      </c>
      <c r="W353">
        <v>352</v>
      </c>
      <c r="X353" s="1">
        <v>46057</v>
      </c>
      <c r="Y353" t="s">
        <v>7</v>
      </c>
      <c r="Z353">
        <v>88.1</v>
      </c>
    </row>
    <row r="354" spans="1:26" x14ac:dyDescent="0.2">
      <c r="A354">
        <v>353</v>
      </c>
      <c r="B354" s="1">
        <v>45987</v>
      </c>
      <c r="C354" t="s">
        <v>7</v>
      </c>
      <c r="D354">
        <v>81.3</v>
      </c>
      <c r="W354" s="55">
        <v>353</v>
      </c>
      <c r="X354" s="1">
        <v>45805</v>
      </c>
      <c r="Y354" t="s">
        <v>7</v>
      </c>
      <c r="Z354">
        <v>88.4</v>
      </c>
    </row>
    <row r="355" spans="1:26" ht="17" thickBot="1" x14ac:dyDescent="0.25">
      <c r="A355">
        <v>354</v>
      </c>
      <c r="B355" s="1">
        <v>45987</v>
      </c>
      <c r="C355" t="s">
        <v>7</v>
      </c>
      <c r="D355">
        <v>87.6</v>
      </c>
      <c r="W355">
        <v>354</v>
      </c>
      <c r="X355" s="1">
        <v>45749</v>
      </c>
      <c r="Y355" t="s">
        <v>7</v>
      </c>
      <c r="Z355">
        <v>88.5</v>
      </c>
    </row>
    <row r="356" spans="1:26" x14ac:dyDescent="0.2">
      <c r="A356">
        <v>355</v>
      </c>
      <c r="B356" s="6">
        <v>46043</v>
      </c>
      <c r="C356" s="7" t="s">
        <v>7</v>
      </c>
      <c r="D356" s="7">
        <v>56.7</v>
      </c>
      <c r="W356">
        <v>355</v>
      </c>
      <c r="X356" s="6">
        <v>45945</v>
      </c>
      <c r="Y356" s="7" t="s">
        <v>7</v>
      </c>
      <c r="Z356" s="7">
        <v>88.8</v>
      </c>
    </row>
    <row r="357" spans="1:26" x14ac:dyDescent="0.2">
      <c r="A357">
        <v>356</v>
      </c>
      <c r="B357" s="1">
        <v>46043</v>
      </c>
      <c r="C357" t="s">
        <v>7</v>
      </c>
      <c r="D357">
        <v>62.2</v>
      </c>
      <c r="W357" s="55">
        <v>356</v>
      </c>
      <c r="X357" s="1">
        <v>46043</v>
      </c>
      <c r="Y357" t="s">
        <v>7</v>
      </c>
      <c r="Z357">
        <v>88.8</v>
      </c>
    </row>
    <row r="358" spans="1:26" x14ac:dyDescent="0.2">
      <c r="A358">
        <v>357</v>
      </c>
      <c r="B358" s="1">
        <v>46043</v>
      </c>
      <c r="C358" t="s">
        <v>7</v>
      </c>
      <c r="D358">
        <v>92</v>
      </c>
      <c r="W358">
        <v>357</v>
      </c>
      <c r="X358" s="1">
        <v>45805</v>
      </c>
      <c r="Y358" t="s">
        <v>7</v>
      </c>
      <c r="Z358">
        <v>89.3</v>
      </c>
    </row>
    <row r="359" spans="1:26" x14ac:dyDescent="0.2">
      <c r="A359">
        <v>358</v>
      </c>
      <c r="B359" s="1">
        <v>46043</v>
      </c>
      <c r="C359" t="s">
        <v>7</v>
      </c>
      <c r="D359">
        <v>88.8</v>
      </c>
      <c r="W359">
        <v>358</v>
      </c>
      <c r="X359" s="1">
        <v>45721</v>
      </c>
      <c r="Y359" t="s">
        <v>7</v>
      </c>
      <c r="Z359">
        <v>89.6</v>
      </c>
    </row>
    <row r="360" spans="1:26" x14ac:dyDescent="0.2">
      <c r="A360">
        <v>359</v>
      </c>
      <c r="B360" s="1">
        <v>46043</v>
      </c>
      <c r="C360" t="s">
        <v>7</v>
      </c>
      <c r="D360">
        <v>65.5</v>
      </c>
      <c r="W360" s="55">
        <v>359</v>
      </c>
      <c r="X360" s="1">
        <v>45623</v>
      </c>
      <c r="Y360" t="s">
        <v>7</v>
      </c>
      <c r="Z360">
        <v>89.8</v>
      </c>
    </row>
    <row r="361" spans="1:26" x14ac:dyDescent="0.2">
      <c r="A361">
        <v>360</v>
      </c>
      <c r="B361" s="1">
        <v>46057</v>
      </c>
      <c r="C361" t="s">
        <v>7</v>
      </c>
      <c r="D361">
        <v>90.7</v>
      </c>
      <c r="W361">
        <v>360</v>
      </c>
      <c r="X361" s="1">
        <v>45959</v>
      </c>
      <c r="Y361" t="s">
        <v>7</v>
      </c>
      <c r="Z361">
        <v>89.8</v>
      </c>
    </row>
    <row r="362" spans="1:26" x14ac:dyDescent="0.2">
      <c r="A362">
        <v>361</v>
      </c>
      <c r="B362" s="1">
        <v>46057</v>
      </c>
      <c r="C362" t="s">
        <v>7</v>
      </c>
      <c r="D362">
        <v>94.6</v>
      </c>
      <c r="W362">
        <v>361</v>
      </c>
      <c r="X362" s="1">
        <v>45070</v>
      </c>
      <c r="Y362" t="s">
        <v>7</v>
      </c>
      <c r="Z362">
        <v>89.9</v>
      </c>
    </row>
    <row r="363" spans="1:26" x14ac:dyDescent="0.2">
      <c r="A363">
        <v>362</v>
      </c>
      <c r="B363" s="1">
        <v>46057</v>
      </c>
      <c r="C363" t="s">
        <v>7</v>
      </c>
      <c r="D363">
        <v>92.2</v>
      </c>
      <c r="W363" s="55">
        <v>362</v>
      </c>
      <c r="X363" s="1">
        <v>46113</v>
      </c>
      <c r="Y363" t="s">
        <v>7</v>
      </c>
      <c r="Z363">
        <v>89.9</v>
      </c>
    </row>
    <row r="364" spans="1:26" x14ac:dyDescent="0.2">
      <c r="A364">
        <v>363</v>
      </c>
      <c r="B364" s="1">
        <v>46057</v>
      </c>
      <c r="C364" t="s">
        <v>593</v>
      </c>
      <c r="D364">
        <v>85.3</v>
      </c>
      <c r="W364">
        <v>363</v>
      </c>
      <c r="X364" s="1">
        <v>45070</v>
      </c>
      <c r="Y364" t="s">
        <v>7</v>
      </c>
      <c r="Z364">
        <v>90</v>
      </c>
    </row>
    <row r="365" spans="1:26" ht="17" thickBot="1" x14ac:dyDescent="0.25">
      <c r="A365">
        <v>364</v>
      </c>
      <c r="B365" s="1">
        <v>46057</v>
      </c>
      <c r="C365" t="s">
        <v>7</v>
      </c>
      <c r="D365">
        <v>88.1</v>
      </c>
      <c r="W365">
        <v>364</v>
      </c>
      <c r="X365" s="1">
        <v>45042</v>
      </c>
      <c r="Y365" t="s">
        <v>7</v>
      </c>
      <c r="Z365">
        <v>90.1</v>
      </c>
    </row>
    <row r="366" spans="1:26" x14ac:dyDescent="0.2">
      <c r="A366">
        <v>365</v>
      </c>
      <c r="B366" s="6">
        <v>46085</v>
      </c>
      <c r="C366" s="7" t="s">
        <v>7</v>
      </c>
      <c r="D366" s="7">
        <v>63.2</v>
      </c>
      <c r="W366" s="55">
        <v>365</v>
      </c>
      <c r="X366" s="6">
        <v>45161</v>
      </c>
      <c r="Y366" s="7" t="s">
        <v>7</v>
      </c>
      <c r="Z366" s="7">
        <v>90.2</v>
      </c>
    </row>
    <row r="367" spans="1:26" x14ac:dyDescent="0.2">
      <c r="A367">
        <v>366</v>
      </c>
      <c r="B367" s="1">
        <v>46085</v>
      </c>
      <c r="C367" t="s">
        <v>7</v>
      </c>
      <c r="D367">
        <v>75.7</v>
      </c>
      <c r="W367">
        <v>366</v>
      </c>
      <c r="X367" s="1">
        <v>45833</v>
      </c>
      <c r="Y367" t="s">
        <v>7</v>
      </c>
      <c r="Z367">
        <v>90.3</v>
      </c>
    </row>
    <row r="368" spans="1:26" x14ac:dyDescent="0.2">
      <c r="A368">
        <v>367</v>
      </c>
      <c r="B368" s="1">
        <v>46085</v>
      </c>
      <c r="C368" t="s">
        <v>7</v>
      </c>
      <c r="D368">
        <v>71.8</v>
      </c>
      <c r="W368">
        <v>367</v>
      </c>
      <c r="X368" s="1">
        <v>45749</v>
      </c>
      <c r="Y368" t="s">
        <v>7</v>
      </c>
      <c r="Z368">
        <v>90.4</v>
      </c>
    </row>
    <row r="369" spans="1:26" x14ac:dyDescent="0.2">
      <c r="A369">
        <v>368</v>
      </c>
      <c r="B369" s="1">
        <v>46085</v>
      </c>
      <c r="C369" t="s">
        <v>7</v>
      </c>
      <c r="D369">
        <v>76.599999999999994</v>
      </c>
      <c r="W369" s="55">
        <v>368</v>
      </c>
      <c r="X369" s="1">
        <v>45861</v>
      </c>
      <c r="Y369" t="s">
        <v>7</v>
      </c>
      <c r="Z369">
        <v>90.5</v>
      </c>
    </row>
    <row r="370" spans="1:26" x14ac:dyDescent="0.2">
      <c r="A370">
        <v>369</v>
      </c>
      <c r="B370" s="1">
        <v>46085</v>
      </c>
      <c r="C370" t="s">
        <v>7</v>
      </c>
      <c r="D370">
        <v>64.5</v>
      </c>
      <c r="W370">
        <v>369</v>
      </c>
      <c r="X370" s="1">
        <v>46057</v>
      </c>
      <c r="Y370" t="s">
        <v>7</v>
      </c>
      <c r="Z370">
        <v>90.7</v>
      </c>
    </row>
    <row r="371" spans="1:26" ht="17" thickBot="1" x14ac:dyDescent="0.25">
      <c r="A371">
        <v>370</v>
      </c>
      <c r="B371" s="1">
        <v>46085</v>
      </c>
      <c r="C371" t="s">
        <v>7</v>
      </c>
      <c r="D371">
        <v>64.7</v>
      </c>
      <c r="W371">
        <v>370</v>
      </c>
      <c r="X371" s="1">
        <v>45070</v>
      </c>
      <c r="Y371" t="s">
        <v>7</v>
      </c>
      <c r="Z371">
        <v>91.3</v>
      </c>
    </row>
    <row r="372" spans="1:26" x14ac:dyDescent="0.2">
      <c r="A372">
        <v>371</v>
      </c>
      <c r="B372" s="6">
        <v>46099</v>
      </c>
      <c r="C372" s="7" t="s">
        <v>7</v>
      </c>
      <c r="D372" s="7">
        <v>75.8</v>
      </c>
      <c r="W372">
        <v>371</v>
      </c>
      <c r="X372" s="6">
        <v>45392</v>
      </c>
      <c r="Y372" s="7" t="s">
        <v>7</v>
      </c>
      <c r="Z372" s="7">
        <v>91.5</v>
      </c>
    </row>
    <row r="373" spans="1:26" x14ac:dyDescent="0.2">
      <c r="A373">
        <v>372</v>
      </c>
      <c r="B373" s="1">
        <v>46099</v>
      </c>
      <c r="C373" t="s">
        <v>7</v>
      </c>
      <c r="D373">
        <v>74</v>
      </c>
      <c r="W373">
        <v>372</v>
      </c>
      <c r="X373" s="1">
        <v>45763</v>
      </c>
      <c r="Y373" t="s">
        <v>7</v>
      </c>
      <c r="Z373">
        <v>91.5</v>
      </c>
    </row>
    <row r="374" spans="1:26" x14ac:dyDescent="0.2">
      <c r="A374">
        <v>373</v>
      </c>
      <c r="B374" s="1">
        <v>46099</v>
      </c>
      <c r="C374" t="s">
        <v>593</v>
      </c>
      <c r="D374">
        <v>57.4</v>
      </c>
      <c r="W374">
        <v>373</v>
      </c>
      <c r="X374" s="1">
        <v>45644</v>
      </c>
      <c r="Y374" t="s">
        <v>7</v>
      </c>
      <c r="Z374">
        <v>91.8</v>
      </c>
    </row>
    <row r="375" spans="1:26" x14ac:dyDescent="0.2">
      <c r="A375">
        <v>374</v>
      </c>
      <c r="B375" s="1">
        <v>46099</v>
      </c>
      <c r="C375" t="s">
        <v>7</v>
      </c>
      <c r="D375">
        <v>61.1</v>
      </c>
      <c r="W375">
        <v>374</v>
      </c>
      <c r="X375" s="1">
        <v>45070</v>
      </c>
      <c r="Y375" t="s">
        <v>7</v>
      </c>
      <c r="Z375">
        <v>91.9</v>
      </c>
    </row>
    <row r="376" spans="1:26" x14ac:dyDescent="0.2">
      <c r="A376">
        <v>375</v>
      </c>
      <c r="B376" s="1">
        <v>46099</v>
      </c>
      <c r="C376" t="s">
        <v>7</v>
      </c>
      <c r="D376">
        <v>84.1</v>
      </c>
      <c r="W376">
        <v>375</v>
      </c>
      <c r="X376" s="1">
        <v>45665</v>
      </c>
      <c r="Y376" t="s">
        <v>7</v>
      </c>
      <c r="Z376">
        <v>91.9</v>
      </c>
    </row>
    <row r="377" spans="1:26" x14ac:dyDescent="0.2">
      <c r="A377">
        <v>376</v>
      </c>
      <c r="B377" s="1">
        <v>46099</v>
      </c>
      <c r="C377" t="s">
        <v>7</v>
      </c>
      <c r="D377">
        <v>77.599999999999994</v>
      </c>
      <c r="W377">
        <v>376</v>
      </c>
      <c r="X377" s="1">
        <v>46043</v>
      </c>
      <c r="Y377" t="s">
        <v>7</v>
      </c>
      <c r="Z377">
        <v>92</v>
      </c>
    </row>
    <row r="378" spans="1:26" x14ac:dyDescent="0.2">
      <c r="A378">
        <v>377</v>
      </c>
      <c r="B378" s="1">
        <v>46099</v>
      </c>
      <c r="C378" t="s">
        <v>7</v>
      </c>
      <c r="D378">
        <v>60.8</v>
      </c>
      <c r="W378">
        <v>377</v>
      </c>
      <c r="X378" s="1">
        <v>45665</v>
      </c>
      <c r="Y378" t="s">
        <v>7</v>
      </c>
      <c r="Z378">
        <v>92.1</v>
      </c>
    </row>
    <row r="379" spans="1:26" x14ac:dyDescent="0.2">
      <c r="A379">
        <v>378</v>
      </c>
      <c r="B379" s="1">
        <v>46099</v>
      </c>
      <c r="C379" t="s">
        <v>7</v>
      </c>
      <c r="D379">
        <v>61.2</v>
      </c>
      <c r="W379">
        <v>378</v>
      </c>
      <c r="X379" s="1">
        <v>46057</v>
      </c>
      <c r="Y379" t="s">
        <v>7</v>
      </c>
      <c r="Z379">
        <v>92.2</v>
      </c>
    </row>
    <row r="380" spans="1:26" x14ac:dyDescent="0.2">
      <c r="A380">
        <v>379</v>
      </c>
      <c r="B380" s="1">
        <v>46113</v>
      </c>
      <c r="C380" t="s">
        <v>7</v>
      </c>
      <c r="D380">
        <v>86.3</v>
      </c>
      <c r="W380">
        <v>379</v>
      </c>
      <c r="X380" s="1">
        <v>45553</v>
      </c>
      <c r="Y380" t="s">
        <v>7</v>
      </c>
      <c r="Z380">
        <v>92.7</v>
      </c>
    </row>
    <row r="381" spans="1:26" x14ac:dyDescent="0.2">
      <c r="A381">
        <v>380</v>
      </c>
      <c r="B381" s="1">
        <v>46113</v>
      </c>
      <c r="C381" t="s">
        <v>7</v>
      </c>
      <c r="D381">
        <v>69.099999999999994</v>
      </c>
      <c r="W381">
        <v>380</v>
      </c>
      <c r="X381" s="1">
        <v>45693</v>
      </c>
      <c r="Y381" t="s">
        <v>7</v>
      </c>
      <c r="Z381">
        <v>92.9</v>
      </c>
    </row>
    <row r="382" spans="1:26" x14ac:dyDescent="0.2">
      <c r="A382">
        <v>381</v>
      </c>
      <c r="B382" s="1">
        <v>46113</v>
      </c>
      <c r="C382" t="s">
        <v>593</v>
      </c>
      <c r="D382">
        <v>68.8</v>
      </c>
      <c r="W382">
        <v>381</v>
      </c>
      <c r="X382" s="1">
        <v>45567</v>
      </c>
      <c r="Y382" t="s">
        <v>7</v>
      </c>
      <c r="Z382">
        <v>93.3</v>
      </c>
    </row>
    <row r="383" spans="1:26" x14ac:dyDescent="0.2">
      <c r="A383">
        <v>382</v>
      </c>
      <c r="B383" s="1">
        <v>46113</v>
      </c>
      <c r="C383" t="s">
        <v>7</v>
      </c>
      <c r="D383">
        <v>54.2</v>
      </c>
      <c r="W383">
        <v>382</v>
      </c>
      <c r="X383" s="1">
        <v>45749</v>
      </c>
      <c r="Y383" t="s">
        <v>7</v>
      </c>
      <c r="Z383">
        <v>93.6</v>
      </c>
    </row>
    <row r="384" spans="1:26" x14ac:dyDescent="0.2">
      <c r="A384">
        <v>383</v>
      </c>
      <c r="B384" s="1">
        <v>46113</v>
      </c>
      <c r="C384" t="s">
        <v>7</v>
      </c>
      <c r="D384">
        <v>60.8</v>
      </c>
      <c r="W384">
        <v>383</v>
      </c>
      <c r="X384" s="1">
        <v>45805</v>
      </c>
      <c r="Y384" t="s">
        <v>7</v>
      </c>
      <c r="Z384">
        <v>94.1</v>
      </c>
    </row>
    <row r="385" spans="1:26" x14ac:dyDescent="0.2">
      <c r="A385">
        <v>384</v>
      </c>
      <c r="B385" s="1">
        <v>46113</v>
      </c>
      <c r="C385" t="s">
        <v>7</v>
      </c>
      <c r="D385">
        <v>81.8</v>
      </c>
      <c r="W385">
        <v>384</v>
      </c>
      <c r="X385" s="1">
        <v>45931</v>
      </c>
      <c r="Y385" t="s">
        <v>7</v>
      </c>
      <c r="Z385">
        <v>94.5</v>
      </c>
    </row>
    <row r="386" spans="1:26" x14ac:dyDescent="0.2">
      <c r="A386">
        <v>385</v>
      </c>
      <c r="B386" s="1">
        <v>46113</v>
      </c>
      <c r="C386" t="s">
        <v>7</v>
      </c>
      <c r="D386">
        <v>57.1</v>
      </c>
      <c r="W386">
        <v>385</v>
      </c>
      <c r="X386" s="1">
        <v>46057</v>
      </c>
      <c r="Y386" t="s">
        <v>7</v>
      </c>
      <c r="Z386">
        <v>94.6</v>
      </c>
    </row>
    <row r="387" spans="1:26" x14ac:dyDescent="0.2">
      <c r="A387">
        <v>386</v>
      </c>
      <c r="B387" s="1">
        <v>46113</v>
      </c>
      <c r="C387" t="s">
        <v>7</v>
      </c>
      <c r="D387">
        <v>77.599999999999994</v>
      </c>
      <c r="W387">
        <v>386</v>
      </c>
      <c r="X387" s="35">
        <v>45987</v>
      </c>
      <c r="Y387" s="36" t="s">
        <v>7</v>
      </c>
      <c r="Z387" s="36">
        <v>96.5</v>
      </c>
    </row>
    <row r="388" spans="1:26" x14ac:dyDescent="0.2">
      <c r="A388">
        <v>387</v>
      </c>
      <c r="B388" s="1">
        <v>46113</v>
      </c>
      <c r="C388" t="s">
        <v>7</v>
      </c>
      <c r="D388">
        <v>89.9</v>
      </c>
      <c r="W388">
        <v>387</v>
      </c>
      <c r="X388" s="1">
        <v>45903</v>
      </c>
      <c r="Y388" t="s">
        <v>7</v>
      </c>
      <c r="Z388">
        <v>97.1</v>
      </c>
    </row>
    <row r="389" spans="1:26" x14ac:dyDescent="0.2">
      <c r="A389">
        <v>388</v>
      </c>
      <c r="B389" s="1">
        <v>46113</v>
      </c>
      <c r="C389" t="s">
        <v>7</v>
      </c>
      <c r="D389">
        <v>86.2</v>
      </c>
      <c r="W389">
        <v>388</v>
      </c>
      <c r="X389" s="1">
        <v>45042</v>
      </c>
      <c r="Y389" t="s">
        <v>7</v>
      </c>
      <c r="Z389">
        <v>98.1</v>
      </c>
    </row>
  </sheetData>
  <sortState xmlns:xlrd2="http://schemas.microsoft.com/office/spreadsheetml/2017/richdata2" ref="X2:Z389">
    <sortCondition ref="Z2:Z389"/>
  </sortState>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D0C55-F7DA-FC40-AB1B-C9B296297ED5}">
  <sheetPr codeName="Feuil3"/>
  <dimension ref="A1:AE157"/>
  <sheetViews>
    <sheetView topLeftCell="A10" zoomScale="162" zoomScaleNormal="280" workbookViewId="0">
      <selection activeCell="A10" sqref="A1:XFD1048576"/>
    </sheetView>
  </sheetViews>
  <sheetFormatPr baseColWidth="10" defaultRowHeight="16" x14ac:dyDescent="0.2"/>
  <cols>
    <col min="8" max="8" width="18.5" bestFit="1" customWidth="1"/>
  </cols>
  <sheetData>
    <row r="1" spans="1:31" x14ac:dyDescent="0.2">
      <c r="A1" t="s">
        <v>0</v>
      </c>
      <c r="B1" t="s">
        <v>4</v>
      </c>
      <c r="C1" t="s">
        <v>1</v>
      </c>
      <c r="D1" t="s">
        <v>2</v>
      </c>
      <c r="E1" t="s">
        <v>3</v>
      </c>
      <c r="X1" t="s">
        <v>4</v>
      </c>
      <c r="Y1" t="s">
        <v>1</v>
      </c>
      <c r="Z1" t="s">
        <v>3</v>
      </c>
      <c r="AB1" t="s">
        <v>126</v>
      </c>
      <c r="AC1" t="s">
        <v>127</v>
      </c>
      <c r="AD1" t="s">
        <v>128</v>
      </c>
      <c r="AE1" t="s">
        <v>45</v>
      </c>
    </row>
    <row r="2" spans="1:31" x14ac:dyDescent="0.2">
      <c r="A2">
        <v>1</v>
      </c>
      <c r="B2" s="1">
        <v>44902</v>
      </c>
      <c r="C2" t="s">
        <v>5</v>
      </c>
      <c r="E2">
        <v>82.3</v>
      </c>
      <c r="W2">
        <v>1</v>
      </c>
      <c r="X2" s="1">
        <v>45693</v>
      </c>
      <c r="Y2" t="s">
        <v>5</v>
      </c>
      <c r="Z2">
        <v>48.6</v>
      </c>
      <c r="AB2" t="s">
        <v>129</v>
      </c>
      <c r="AC2">
        <v>30</v>
      </c>
      <c r="AD2" cm="1">
        <f t="array" ref="AD2:AD10">FREQUENCY(Z1:Z199,AC2:AC9)</f>
        <v>0</v>
      </c>
      <c r="AE2" s="19">
        <f>(AD2/AD$11)*100</f>
        <v>0</v>
      </c>
    </row>
    <row r="3" spans="1:31" x14ac:dyDescent="0.2">
      <c r="A3">
        <v>2</v>
      </c>
      <c r="B3" s="1">
        <v>44909</v>
      </c>
      <c r="C3" t="s">
        <v>5</v>
      </c>
      <c r="E3">
        <v>80.2</v>
      </c>
      <c r="W3">
        <v>2</v>
      </c>
      <c r="X3" s="1">
        <v>46113</v>
      </c>
      <c r="Y3" t="s">
        <v>5</v>
      </c>
      <c r="Z3">
        <v>53</v>
      </c>
      <c r="AB3" s="30" t="s">
        <v>130</v>
      </c>
      <c r="AC3">
        <v>40</v>
      </c>
      <c r="AD3">
        <v>0</v>
      </c>
      <c r="AE3" s="19">
        <f t="shared" ref="AE3:AE9" si="0">(AD3/AD$11)*100</f>
        <v>0</v>
      </c>
    </row>
    <row r="4" spans="1:31" x14ac:dyDescent="0.2">
      <c r="A4">
        <v>3</v>
      </c>
      <c r="B4" s="1">
        <v>44916</v>
      </c>
      <c r="C4" t="s">
        <v>5</v>
      </c>
      <c r="E4">
        <v>79.099999999999994</v>
      </c>
      <c r="W4">
        <v>3</v>
      </c>
      <c r="X4" s="1">
        <v>45749</v>
      </c>
      <c r="Y4" t="s">
        <v>21</v>
      </c>
      <c r="Z4">
        <v>64.3</v>
      </c>
      <c r="AB4" t="s">
        <v>131</v>
      </c>
      <c r="AC4">
        <v>50</v>
      </c>
      <c r="AD4">
        <v>1</v>
      </c>
      <c r="AE4" s="19">
        <f t="shared" si="0"/>
        <v>0.64102564102564097</v>
      </c>
    </row>
    <row r="5" spans="1:31" x14ac:dyDescent="0.2">
      <c r="A5">
        <v>4</v>
      </c>
      <c r="B5" s="1">
        <v>44916</v>
      </c>
      <c r="C5" t="s">
        <v>5</v>
      </c>
      <c r="E5">
        <v>88.1</v>
      </c>
      <c r="W5">
        <v>4</v>
      </c>
      <c r="X5" s="1">
        <v>46113</v>
      </c>
      <c r="Y5" t="s">
        <v>5</v>
      </c>
      <c r="Z5">
        <v>66.8</v>
      </c>
      <c r="AB5" t="s">
        <v>132</v>
      </c>
      <c r="AC5">
        <v>60</v>
      </c>
      <c r="AD5">
        <v>1</v>
      </c>
      <c r="AE5" s="19">
        <f t="shared" si="0"/>
        <v>0.64102564102564097</v>
      </c>
    </row>
    <row r="6" spans="1:31" x14ac:dyDescent="0.2">
      <c r="A6">
        <v>5</v>
      </c>
      <c r="B6" s="1">
        <v>44937</v>
      </c>
      <c r="C6" t="s">
        <v>5</v>
      </c>
      <c r="E6">
        <v>79.2</v>
      </c>
      <c r="W6">
        <v>5</v>
      </c>
      <c r="X6" s="1">
        <v>45945</v>
      </c>
      <c r="Y6" t="s">
        <v>5</v>
      </c>
      <c r="Z6">
        <v>67.3</v>
      </c>
      <c r="AB6" t="s">
        <v>133</v>
      </c>
      <c r="AC6">
        <v>70</v>
      </c>
      <c r="AD6">
        <v>7</v>
      </c>
      <c r="AE6" s="19">
        <f t="shared" si="0"/>
        <v>4.4871794871794872</v>
      </c>
    </row>
    <row r="7" spans="1:31" x14ac:dyDescent="0.2">
      <c r="A7">
        <v>6</v>
      </c>
      <c r="B7" s="1">
        <v>44958</v>
      </c>
      <c r="C7" t="s">
        <v>5</v>
      </c>
      <c r="E7">
        <v>69.099999999999994</v>
      </c>
      <c r="W7">
        <v>6</v>
      </c>
      <c r="X7" s="1">
        <v>45791</v>
      </c>
      <c r="Y7" t="s">
        <v>5</v>
      </c>
      <c r="Z7">
        <v>68.3</v>
      </c>
      <c r="AB7" t="s">
        <v>134</v>
      </c>
      <c r="AC7">
        <v>80</v>
      </c>
      <c r="AD7">
        <v>56</v>
      </c>
      <c r="AE7" s="19">
        <f t="shared" si="0"/>
        <v>35.897435897435898</v>
      </c>
    </row>
    <row r="8" spans="1:31" x14ac:dyDescent="0.2">
      <c r="A8">
        <v>7</v>
      </c>
      <c r="B8" s="1">
        <v>44979</v>
      </c>
      <c r="C8" t="s">
        <v>5</v>
      </c>
      <c r="E8">
        <v>74.3</v>
      </c>
      <c r="W8">
        <v>7</v>
      </c>
      <c r="X8" s="1">
        <v>45581</v>
      </c>
      <c r="Y8" t="s">
        <v>21</v>
      </c>
      <c r="Z8">
        <v>69</v>
      </c>
      <c r="AB8" t="s">
        <v>135</v>
      </c>
      <c r="AC8">
        <v>90</v>
      </c>
      <c r="AD8">
        <v>80</v>
      </c>
      <c r="AE8" s="19">
        <f t="shared" si="0"/>
        <v>51.282051282051277</v>
      </c>
    </row>
    <row r="9" spans="1:31" x14ac:dyDescent="0.2">
      <c r="A9">
        <v>8</v>
      </c>
      <c r="B9" s="1">
        <v>44979</v>
      </c>
      <c r="C9" t="s">
        <v>21</v>
      </c>
      <c r="E9">
        <v>77</v>
      </c>
      <c r="W9">
        <v>8</v>
      </c>
      <c r="X9" s="1">
        <v>44958</v>
      </c>
      <c r="Y9" t="s">
        <v>5</v>
      </c>
      <c r="Z9">
        <v>69.099999999999994</v>
      </c>
      <c r="AB9" t="s">
        <v>136</v>
      </c>
      <c r="AC9">
        <v>100</v>
      </c>
      <c r="AD9">
        <v>11</v>
      </c>
      <c r="AE9" s="19">
        <f t="shared" si="0"/>
        <v>7.0512820512820511</v>
      </c>
    </row>
    <row r="10" spans="1:31" x14ac:dyDescent="0.2">
      <c r="A10">
        <v>9</v>
      </c>
      <c r="B10" s="1">
        <v>45014</v>
      </c>
      <c r="C10" t="s">
        <v>5</v>
      </c>
      <c r="E10">
        <v>81.599999999999994</v>
      </c>
      <c r="W10">
        <v>9</v>
      </c>
      <c r="X10" s="1">
        <v>45763</v>
      </c>
      <c r="Y10" t="s">
        <v>21</v>
      </c>
      <c r="Z10">
        <v>69.900000000000006</v>
      </c>
      <c r="AD10">
        <v>0</v>
      </c>
    </row>
    <row r="11" spans="1:31" x14ac:dyDescent="0.2">
      <c r="A11">
        <v>10</v>
      </c>
      <c r="B11" s="1">
        <v>45042</v>
      </c>
      <c r="C11" t="s">
        <v>21</v>
      </c>
      <c r="E11">
        <v>81.5</v>
      </c>
      <c r="W11">
        <v>10</v>
      </c>
      <c r="X11" s="1">
        <v>45721</v>
      </c>
      <c r="Y11" t="s">
        <v>5</v>
      </c>
      <c r="Z11" s="20">
        <v>72.3</v>
      </c>
      <c r="AD11">
        <f>SUM(AD2:AD9)</f>
        <v>156</v>
      </c>
      <c r="AE11" s="19">
        <f>SUM(AE2:AE9)</f>
        <v>100</v>
      </c>
    </row>
    <row r="12" spans="1:31" x14ac:dyDescent="0.2">
      <c r="A12">
        <v>11</v>
      </c>
      <c r="B12" s="1">
        <v>45042</v>
      </c>
      <c r="C12" t="s">
        <v>5</v>
      </c>
      <c r="E12">
        <v>76.3</v>
      </c>
      <c r="W12">
        <v>11</v>
      </c>
      <c r="X12" s="1">
        <v>45623</v>
      </c>
      <c r="Y12" t="s">
        <v>5</v>
      </c>
      <c r="Z12">
        <v>72.400000000000006</v>
      </c>
    </row>
    <row r="13" spans="1:31" x14ac:dyDescent="0.2">
      <c r="A13">
        <v>12</v>
      </c>
      <c r="B13" s="1">
        <v>45042</v>
      </c>
      <c r="C13" t="s">
        <v>5</v>
      </c>
      <c r="E13">
        <v>77.2</v>
      </c>
      <c r="W13">
        <v>12</v>
      </c>
      <c r="X13" s="1">
        <v>45609</v>
      </c>
      <c r="Y13" t="s">
        <v>5</v>
      </c>
      <c r="Z13">
        <v>72.900000000000006</v>
      </c>
    </row>
    <row r="14" spans="1:31" x14ac:dyDescent="0.2">
      <c r="A14">
        <v>13</v>
      </c>
      <c r="B14" s="1">
        <v>45042</v>
      </c>
      <c r="C14" t="s">
        <v>5</v>
      </c>
      <c r="E14">
        <v>79.7</v>
      </c>
      <c r="W14">
        <v>13</v>
      </c>
      <c r="X14" s="1">
        <v>45483</v>
      </c>
      <c r="Y14" t="s">
        <v>5</v>
      </c>
      <c r="Z14">
        <v>73.2</v>
      </c>
    </row>
    <row r="15" spans="1:31" x14ac:dyDescent="0.2">
      <c r="A15">
        <v>14</v>
      </c>
      <c r="B15" s="1">
        <v>45070</v>
      </c>
      <c r="C15" t="s">
        <v>5</v>
      </c>
      <c r="E15">
        <v>84</v>
      </c>
      <c r="W15">
        <v>14</v>
      </c>
      <c r="X15" s="1">
        <v>45665</v>
      </c>
      <c r="Y15" t="s">
        <v>5</v>
      </c>
      <c r="Z15">
        <v>73.3</v>
      </c>
    </row>
    <row r="16" spans="1:31" x14ac:dyDescent="0.2">
      <c r="A16">
        <v>15</v>
      </c>
      <c r="B16" s="1">
        <v>45070</v>
      </c>
      <c r="C16" t="s">
        <v>5</v>
      </c>
      <c r="E16">
        <v>86</v>
      </c>
      <c r="W16">
        <v>15</v>
      </c>
      <c r="X16" s="1">
        <v>45581</v>
      </c>
      <c r="Y16" t="s">
        <v>21</v>
      </c>
      <c r="Z16">
        <v>73.5</v>
      </c>
    </row>
    <row r="17" spans="1:26" x14ac:dyDescent="0.2">
      <c r="A17">
        <v>16</v>
      </c>
      <c r="B17" s="1">
        <v>45210</v>
      </c>
      <c r="C17" t="s">
        <v>5</v>
      </c>
      <c r="E17">
        <v>78.900000000000006</v>
      </c>
      <c r="W17">
        <v>16</v>
      </c>
      <c r="X17" s="1">
        <v>45518</v>
      </c>
      <c r="Y17" t="s">
        <v>5</v>
      </c>
      <c r="Z17">
        <v>73.599999999999994</v>
      </c>
    </row>
    <row r="18" spans="1:26" x14ac:dyDescent="0.2">
      <c r="A18">
        <v>17</v>
      </c>
      <c r="B18" s="1">
        <v>45210</v>
      </c>
      <c r="C18" t="s">
        <v>5</v>
      </c>
      <c r="E18">
        <v>75.599999999999994</v>
      </c>
      <c r="W18">
        <v>17</v>
      </c>
      <c r="X18" s="1">
        <v>44979</v>
      </c>
      <c r="Y18" t="s">
        <v>5</v>
      </c>
      <c r="Z18">
        <v>74.3</v>
      </c>
    </row>
    <row r="19" spans="1:26" x14ac:dyDescent="0.2">
      <c r="A19">
        <v>18</v>
      </c>
      <c r="B19" s="1">
        <v>45210</v>
      </c>
      <c r="C19" t="s">
        <v>5</v>
      </c>
      <c r="E19">
        <v>77.8</v>
      </c>
      <c r="W19">
        <v>18</v>
      </c>
      <c r="X19" s="1">
        <v>45315</v>
      </c>
      <c r="Y19" t="s">
        <v>5</v>
      </c>
      <c r="Z19">
        <v>74.3</v>
      </c>
    </row>
    <row r="20" spans="1:26" x14ac:dyDescent="0.2">
      <c r="A20">
        <v>19</v>
      </c>
      <c r="B20" s="1">
        <v>45210</v>
      </c>
      <c r="C20" t="s">
        <v>5</v>
      </c>
      <c r="E20">
        <v>77.900000000000006</v>
      </c>
      <c r="W20">
        <v>19</v>
      </c>
      <c r="X20" s="1">
        <v>45518</v>
      </c>
      <c r="Y20" t="s">
        <v>5</v>
      </c>
      <c r="Z20">
        <v>74.3</v>
      </c>
    </row>
    <row r="21" spans="1:26" x14ac:dyDescent="0.2">
      <c r="A21">
        <v>20</v>
      </c>
      <c r="B21" s="1">
        <v>45245</v>
      </c>
      <c r="C21" t="s">
        <v>5</v>
      </c>
      <c r="E21">
        <v>82.4</v>
      </c>
      <c r="W21">
        <v>20</v>
      </c>
      <c r="X21" s="1">
        <v>45609</v>
      </c>
      <c r="Y21" t="s">
        <v>5</v>
      </c>
      <c r="Z21">
        <v>74.400000000000006</v>
      </c>
    </row>
    <row r="22" spans="1:26" x14ac:dyDescent="0.2">
      <c r="A22">
        <v>21</v>
      </c>
      <c r="B22" s="1">
        <v>45245</v>
      </c>
      <c r="C22" t="s">
        <v>5</v>
      </c>
      <c r="E22">
        <v>82.8</v>
      </c>
      <c r="W22">
        <v>21</v>
      </c>
      <c r="X22" s="1">
        <v>45609</v>
      </c>
      <c r="Y22" t="s">
        <v>5</v>
      </c>
      <c r="Z22">
        <v>74.400000000000006</v>
      </c>
    </row>
    <row r="23" spans="1:26" x14ac:dyDescent="0.2">
      <c r="A23">
        <v>22</v>
      </c>
      <c r="B23" s="1">
        <v>45245</v>
      </c>
      <c r="C23" t="s">
        <v>5</v>
      </c>
      <c r="E23">
        <v>76.5</v>
      </c>
      <c r="W23">
        <v>22</v>
      </c>
      <c r="X23" s="1">
        <v>45805</v>
      </c>
      <c r="Y23" t="s">
        <v>5</v>
      </c>
      <c r="Z23">
        <v>74.900000000000006</v>
      </c>
    </row>
    <row r="24" spans="1:26" x14ac:dyDescent="0.2">
      <c r="A24">
        <v>23</v>
      </c>
      <c r="B24" s="1">
        <v>45315</v>
      </c>
      <c r="C24" t="s">
        <v>5</v>
      </c>
      <c r="E24">
        <v>84.1</v>
      </c>
      <c r="W24">
        <v>23</v>
      </c>
      <c r="X24" s="1">
        <v>45693</v>
      </c>
      <c r="Y24" t="s">
        <v>5</v>
      </c>
      <c r="Z24">
        <v>75.099999999999994</v>
      </c>
    </row>
    <row r="25" spans="1:26" x14ac:dyDescent="0.2">
      <c r="A25">
        <v>24</v>
      </c>
      <c r="B25" s="1">
        <v>45315</v>
      </c>
      <c r="C25" t="s">
        <v>5</v>
      </c>
      <c r="E25">
        <v>74.3</v>
      </c>
      <c r="H25" t="s">
        <v>11</v>
      </c>
      <c r="I25" s="20">
        <f>AVERAGE(E2:E199)</f>
        <v>81.144230769230731</v>
      </c>
      <c r="W25">
        <v>24</v>
      </c>
      <c r="X25" s="1">
        <v>45352</v>
      </c>
      <c r="Y25" t="s">
        <v>21</v>
      </c>
      <c r="Z25">
        <v>75.2</v>
      </c>
    </row>
    <row r="26" spans="1:26" x14ac:dyDescent="0.2">
      <c r="A26">
        <v>25</v>
      </c>
      <c r="B26" s="1">
        <v>45352</v>
      </c>
      <c r="C26" t="s">
        <v>5</v>
      </c>
      <c r="E26">
        <v>76.3</v>
      </c>
      <c r="H26" t="s">
        <v>9</v>
      </c>
      <c r="I26">
        <f>MAX(E2:E199)</f>
        <v>94.3</v>
      </c>
      <c r="W26">
        <v>25</v>
      </c>
      <c r="X26" s="1">
        <v>45665</v>
      </c>
      <c r="Y26" t="s">
        <v>5</v>
      </c>
      <c r="Z26">
        <v>75.3</v>
      </c>
    </row>
    <row r="27" spans="1:26" x14ac:dyDescent="0.2">
      <c r="A27">
        <v>26</v>
      </c>
      <c r="B27" s="1">
        <v>45352</v>
      </c>
      <c r="C27" t="s">
        <v>21</v>
      </c>
      <c r="E27">
        <v>75.2</v>
      </c>
      <c r="H27" t="s">
        <v>10</v>
      </c>
      <c r="I27">
        <f>MIN(E2:E199)</f>
        <v>48.6</v>
      </c>
      <c r="W27">
        <v>26</v>
      </c>
      <c r="X27" s="1">
        <v>45210</v>
      </c>
      <c r="Y27" t="s">
        <v>5</v>
      </c>
      <c r="Z27">
        <v>75.599999999999994</v>
      </c>
    </row>
    <row r="28" spans="1:26" x14ac:dyDescent="0.2">
      <c r="A28">
        <v>27</v>
      </c>
      <c r="B28" s="1">
        <v>45392</v>
      </c>
      <c r="C28" t="s">
        <v>21</v>
      </c>
      <c r="E28">
        <v>78.2</v>
      </c>
      <c r="W28">
        <v>27</v>
      </c>
      <c r="X28" s="1">
        <v>45581</v>
      </c>
      <c r="Y28" t="s">
        <v>21</v>
      </c>
      <c r="Z28">
        <v>75.7</v>
      </c>
    </row>
    <row r="29" spans="1:26" x14ac:dyDescent="0.2">
      <c r="A29">
        <v>28</v>
      </c>
      <c r="B29" s="1">
        <v>45392</v>
      </c>
      <c r="C29" t="s">
        <v>5</v>
      </c>
      <c r="E29">
        <v>76.099999999999994</v>
      </c>
      <c r="I29" t="s">
        <v>32</v>
      </c>
      <c r="W29">
        <v>28</v>
      </c>
      <c r="X29" s="1">
        <v>45945</v>
      </c>
      <c r="Y29" t="s">
        <v>5</v>
      </c>
      <c r="Z29">
        <v>75.7</v>
      </c>
    </row>
    <row r="30" spans="1:26" x14ac:dyDescent="0.2">
      <c r="A30">
        <v>29</v>
      </c>
      <c r="B30" s="1">
        <v>45483</v>
      </c>
      <c r="C30" t="s">
        <v>5</v>
      </c>
      <c r="E30">
        <v>76.900000000000006</v>
      </c>
      <c r="H30" t="s">
        <v>27</v>
      </c>
      <c r="I30">
        <f>I27</f>
        <v>48.6</v>
      </c>
      <c r="W30">
        <v>29</v>
      </c>
      <c r="X30" s="1">
        <v>45644</v>
      </c>
      <c r="Y30" t="s">
        <v>21</v>
      </c>
      <c r="Z30">
        <v>75.8</v>
      </c>
    </row>
    <row r="31" spans="1:26" x14ac:dyDescent="0.2">
      <c r="A31">
        <v>30</v>
      </c>
      <c r="B31" s="1">
        <v>45483</v>
      </c>
      <c r="C31" t="s">
        <v>5</v>
      </c>
      <c r="E31">
        <v>73.2</v>
      </c>
      <c r="H31" t="s">
        <v>28</v>
      </c>
      <c r="I31">
        <f>_xlfn.QUARTILE.INC(E2:E199,1)</f>
        <v>77.5</v>
      </c>
      <c r="W31">
        <v>30</v>
      </c>
      <c r="X31" s="1">
        <v>45777</v>
      </c>
      <c r="Y31" t="s">
        <v>5</v>
      </c>
      <c r="Z31">
        <v>75.8</v>
      </c>
    </row>
    <row r="32" spans="1:26" x14ac:dyDescent="0.2">
      <c r="A32">
        <v>31</v>
      </c>
      <c r="B32" s="1">
        <v>45483</v>
      </c>
      <c r="C32" t="s">
        <v>5</v>
      </c>
      <c r="E32">
        <v>79.099999999999994</v>
      </c>
      <c r="H32" t="s">
        <v>29</v>
      </c>
      <c r="I32">
        <f>_xlfn.QUARTILE.INC(E2:E199,2)</f>
        <v>81.599999999999994</v>
      </c>
      <c r="W32">
        <v>31</v>
      </c>
      <c r="X32" s="1">
        <v>45352</v>
      </c>
      <c r="Y32" t="s">
        <v>5</v>
      </c>
      <c r="Z32">
        <v>76.099999999999994</v>
      </c>
    </row>
    <row r="33" spans="1:26" x14ac:dyDescent="0.2">
      <c r="A33">
        <v>32</v>
      </c>
      <c r="B33" s="1">
        <v>45483</v>
      </c>
      <c r="C33" t="s">
        <v>5</v>
      </c>
      <c r="E33">
        <v>78.7</v>
      </c>
      <c r="H33" t="s">
        <v>30</v>
      </c>
      <c r="I33">
        <f>_xlfn.QUARTILE.INC(E2:E199,3)</f>
        <v>86</v>
      </c>
      <c r="W33">
        <v>32</v>
      </c>
      <c r="X33" s="1">
        <v>45042</v>
      </c>
      <c r="Y33" t="s">
        <v>5</v>
      </c>
      <c r="Z33">
        <v>76.3</v>
      </c>
    </row>
    <row r="34" spans="1:26" x14ac:dyDescent="0.2">
      <c r="A34">
        <v>33</v>
      </c>
      <c r="B34" s="1">
        <v>45483</v>
      </c>
      <c r="C34" t="s">
        <v>5</v>
      </c>
      <c r="E34">
        <v>80.099999999999994</v>
      </c>
      <c r="H34" t="s">
        <v>9</v>
      </c>
      <c r="I34">
        <f>I26</f>
        <v>94.3</v>
      </c>
      <c r="W34">
        <v>33</v>
      </c>
      <c r="X34" s="1">
        <v>45352</v>
      </c>
      <c r="Y34" t="s">
        <v>5</v>
      </c>
      <c r="Z34">
        <v>76.3</v>
      </c>
    </row>
    <row r="35" spans="1:26" x14ac:dyDescent="0.2">
      <c r="A35">
        <v>34</v>
      </c>
      <c r="B35" s="1">
        <v>45518</v>
      </c>
      <c r="C35" t="s">
        <v>5</v>
      </c>
      <c r="E35">
        <v>73.599999999999994</v>
      </c>
      <c r="W35">
        <v>34</v>
      </c>
      <c r="X35" s="1">
        <v>45245</v>
      </c>
      <c r="Y35" t="s">
        <v>5</v>
      </c>
      <c r="Z35">
        <v>76.5</v>
      </c>
    </row>
    <row r="36" spans="1:26" x14ac:dyDescent="0.2">
      <c r="A36">
        <v>35</v>
      </c>
      <c r="B36" s="1">
        <v>45518</v>
      </c>
      <c r="C36" t="s">
        <v>5</v>
      </c>
      <c r="E36">
        <v>74.3</v>
      </c>
      <c r="I36" t="s">
        <v>32</v>
      </c>
      <c r="W36">
        <v>35</v>
      </c>
      <c r="X36" s="1">
        <v>45483</v>
      </c>
      <c r="Y36" t="s">
        <v>5</v>
      </c>
      <c r="Z36">
        <v>76.900000000000006</v>
      </c>
    </row>
    <row r="37" spans="1:26" x14ac:dyDescent="0.2">
      <c r="A37">
        <v>36</v>
      </c>
      <c r="B37" s="1">
        <v>45518</v>
      </c>
      <c r="C37" t="s">
        <v>5</v>
      </c>
      <c r="E37">
        <v>78.7</v>
      </c>
      <c r="H37" t="s">
        <v>10</v>
      </c>
      <c r="I37">
        <f>I30</f>
        <v>48.6</v>
      </c>
      <c r="W37">
        <v>36</v>
      </c>
      <c r="X37" s="1">
        <v>44979</v>
      </c>
      <c r="Y37" t="s">
        <v>21</v>
      </c>
      <c r="Z37">
        <v>77</v>
      </c>
    </row>
    <row r="38" spans="1:26" x14ac:dyDescent="0.2">
      <c r="A38">
        <v>37</v>
      </c>
      <c r="B38" s="1">
        <v>45553</v>
      </c>
      <c r="C38" t="s">
        <v>5</v>
      </c>
      <c r="E38">
        <v>79.900000000000006</v>
      </c>
      <c r="H38" t="s">
        <v>33</v>
      </c>
      <c r="I38">
        <f>I31-I30</f>
        <v>28.9</v>
      </c>
      <c r="W38">
        <v>37</v>
      </c>
      <c r="X38" s="1">
        <v>45679</v>
      </c>
      <c r="Y38" t="s">
        <v>5</v>
      </c>
      <c r="Z38">
        <v>77.099999999999994</v>
      </c>
    </row>
    <row r="39" spans="1:26" x14ac:dyDescent="0.2">
      <c r="A39">
        <v>38</v>
      </c>
      <c r="B39" s="1">
        <v>45553</v>
      </c>
      <c r="C39" t="s">
        <v>5</v>
      </c>
      <c r="E39">
        <v>83.2</v>
      </c>
      <c r="H39" t="s">
        <v>34</v>
      </c>
      <c r="I39">
        <f>I32-I31</f>
        <v>4.0999999999999943</v>
      </c>
      <c r="W39">
        <v>38</v>
      </c>
      <c r="X39" s="1">
        <v>45735</v>
      </c>
      <c r="Y39" t="s">
        <v>21</v>
      </c>
      <c r="Z39">
        <v>77.099999999999994</v>
      </c>
    </row>
    <row r="40" spans="1:26" x14ac:dyDescent="0.2">
      <c r="A40">
        <v>39</v>
      </c>
      <c r="B40" s="1">
        <v>45553</v>
      </c>
      <c r="C40" t="s">
        <v>5</v>
      </c>
      <c r="E40">
        <v>80.2</v>
      </c>
      <c r="H40" t="s">
        <v>35</v>
      </c>
      <c r="I40">
        <f>I33-I32</f>
        <v>4.4000000000000057</v>
      </c>
      <c r="W40">
        <v>39</v>
      </c>
      <c r="X40" s="1">
        <v>45042</v>
      </c>
      <c r="Y40" t="s">
        <v>5</v>
      </c>
      <c r="Z40">
        <v>77.2</v>
      </c>
    </row>
    <row r="41" spans="1:26" x14ac:dyDescent="0.2">
      <c r="A41">
        <v>40</v>
      </c>
      <c r="B41" s="1">
        <v>45567</v>
      </c>
      <c r="C41" t="s">
        <v>5</v>
      </c>
      <c r="E41">
        <v>87.1</v>
      </c>
      <c r="H41" t="s">
        <v>36</v>
      </c>
      <c r="I41">
        <f>I34-I33</f>
        <v>8.2999999999999972</v>
      </c>
      <c r="W41">
        <v>40</v>
      </c>
      <c r="X41" s="1">
        <v>45644</v>
      </c>
      <c r="Y41" t="s">
        <v>21</v>
      </c>
      <c r="Z41">
        <v>77.599999999999994</v>
      </c>
    </row>
    <row r="42" spans="1:26" x14ac:dyDescent="0.2">
      <c r="A42">
        <v>41</v>
      </c>
      <c r="B42" s="1">
        <v>45581</v>
      </c>
      <c r="C42" t="s">
        <v>21</v>
      </c>
      <c r="E42">
        <v>75.7</v>
      </c>
      <c r="W42">
        <v>41</v>
      </c>
      <c r="X42" s="1">
        <v>45210</v>
      </c>
      <c r="Y42" t="s">
        <v>5</v>
      </c>
      <c r="Z42">
        <v>77.8</v>
      </c>
    </row>
    <row r="43" spans="1:26" x14ac:dyDescent="0.2">
      <c r="A43">
        <v>42</v>
      </c>
      <c r="B43" s="1">
        <v>45581</v>
      </c>
      <c r="C43" t="s">
        <v>21</v>
      </c>
      <c r="E43">
        <v>69</v>
      </c>
      <c r="H43" t="s">
        <v>4</v>
      </c>
      <c r="I43" t="s">
        <v>142</v>
      </c>
      <c r="W43">
        <v>42</v>
      </c>
      <c r="X43" s="1">
        <v>45210</v>
      </c>
      <c r="Y43" t="s">
        <v>5</v>
      </c>
      <c r="Z43">
        <v>77.900000000000006</v>
      </c>
    </row>
    <row r="44" spans="1:26" x14ac:dyDescent="0.2">
      <c r="A44">
        <v>43</v>
      </c>
      <c r="B44" s="1">
        <v>45581</v>
      </c>
      <c r="C44" t="s">
        <v>21</v>
      </c>
      <c r="E44">
        <v>73.5</v>
      </c>
      <c r="H44" s="1">
        <v>44872</v>
      </c>
      <c r="I44">
        <f>E2</f>
        <v>82.3</v>
      </c>
      <c r="J44" s="26">
        <v>1</v>
      </c>
      <c r="W44">
        <v>43</v>
      </c>
      <c r="X44" s="1">
        <v>45735</v>
      </c>
      <c r="Y44" t="s">
        <v>21</v>
      </c>
      <c r="Z44">
        <v>77.900000000000006</v>
      </c>
    </row>
    <row r="45" spans="1:26" x14ac:dyDescent="0.2">
      <c r="A45">
        <v>44</v>
      </c>
      <c r="B45" s="1">
        <v>45595</v>
      </c>
      <c r="C45" t="s">
        <v>5</v>
      </c>
      <c r="E45">
        <v>84.9</v>
      </c>
      <c r="H45" s="1">
        <v>44909</v>
      </c>
      <c r="I45">
        <f>E3</f>
        <v>80.2</v>
      </c>
      <c r="J45" s="26">
        <v>1</v>
      </c>
      <c r="W45">
        <v>44</v>
      </c>
      <c r="X45" s="1">
        <v>45352</v>
      </c>
      <c r="Y45" t="s">
        <v>21</v>
      </c>
      <c r="Z45">
        <v>78.2</v>
      </c>
    </row>
    <row r="46" spans="1:26" x14ac:dyDescent="0.2">
      <c r="A46">
        <v>45</v>
      </c>
      <c r="B46" s="1">
        <v>45595</v>
      </c>
      <c r="C46" t="s">
        <v>5</v>
      </c>
      <c r="E46">
        <v>84.3</v>
      </c>
      <c r="H46" s="1">
        <v>44916</v>
      </c>
      <c r="I46">
        <f>AVERAGE(E4:E5)</f>
        <v>83.6</v>
      </c>
      <c r="J46" s="26">
        <v>2</v>
      </c>
      <c r="W46">
        <v>45</v>
      </c>
      <c r="X46" s="1">
        <v>45791</v>
      </c>
      <c r="Y46" t="s">
        <v>5</v>
      </c>
      <c r="Z46">
        <v>78.2</v>
      </c>
    </row>
    <row r="47" spans="1:26" ht="17" thickBot="1" x14ac:dyDescent="0.25">
      <c r="A47">
        <v>46</v>
      </c>
      <c r="B47" s="1">
        <v>45595</v>
      </c>
      <c r="C47" t="s">
        <v>5</v>
      </c>
      <c r="E47">
        <v>83.6</v>
      </c>
      <c r="H47" s="12">
        <v>44937</v>
      </c>
      <c r="I47">
        <f>E6</f>
        <v>79.2</v>
      </c>
      <c r="J47" s="26">
        <v>1</v>
      </c>
      <c r="W47">
        <v>46</v>
      </c>
      <c r="X47" s="1">
        <v>45735</v>
      </c>
      <c r="Y47" t="s">
        <v>21</v>
      </c>
      <c r="Z47">
        <v>78.400000000000006</v>
      </c>
    </row>
    <row r="48" spans="1:26" x14ac:dyDescent="0.2">
      <c r="A48">
        <v>47</v>
      </c>
      <c r="B48" s="1">
        <v>45609</v>
      </c>
      <c r="C48" t="s">
        <v>5</v>
      </c>
      <c r="E48">
        <v>78.7</v>
      </c>
      <c r="H48" s="1">
        <v>44958</v>
      </c>
      <c r="I48" s="20">
        <f>E7</f>
        <v>69.099999999999994</v>
      </c>
      <c r="J48" s="26">
        <v>1</v>
      </c>
      <c r="W48">
        <v>47</v>
      </c>
      <c r="X48" s="1">
        <v>45749</v>
      </c>
      <c r="Y48" t="s">
        <v>21</v>
      </c>
      <c r="Z48">
        <v>78.400000000000006</v>
      </c>
    </row>
    <row r="49" spans="1:26" ht="17" thickBot="1" x14ac:dyDescent="0.25">
      <c r="A49">
        <v>48</v>
      </c>
      <c r="B49" s="1">
        <v>45609</v>
      </c>
      <c r="C49" t="s">
        <v>5</v>
      </c>
      <c r="E49">
        <v>79.7</v>
      </c>
      <c r="H49" s="1">
        <v>44979</v>
      </c>
      <c r="I49" s="20">
        <f>AVERAGE(E8:E9)</f>
        <v>75.650000000000006</v>
      </c>
      <c r="J49" s="26">
        <v>2</v>
      </c>
      <c r="W49">
        <v>48</v>
      </c>
      <c r="X49" s="1">
        <v>45721</v>
      </c>
      <c r="Y49" t="s">
        <v>5</v>
      </c>
      <c r="Z49" s="20">
        <v>78.5</v>
      </c>
    </row>
    <row r="50" spans="1:26" x14ac:dyDescent="0.2">
      <c r="A50">
        <v>49</v>
      </c>
      <c r="B50" s="1">
        <v>45609</v>
      </c>
      <c r="C50" t="s">
        <v>5</v>
      </c>
      <c r="E50">
        <v>72.900000000000006</v>
      </c>
      <c r="H50" s="6">
        <v>45014</v>
      </c>
      <c r="I50" s="20">
        <f>E10</f>
        <v>81.599999999999994</v>
      </c>
      <c r="J50" s="26">
        <v>1</v>
      </c>
      <c r="W50">
        <v>49</v>
      </c>
      <c r="X50" s="1">
        <v>45805</v>
      </c>
      <c r="Y50" t="s">
        <v>5</v>
      </c>
      <c r="Z50">
        <v>78.5</v>
      </c>
    </row>
    <row r="51" spans="1:26" x14ac:dyDescent="0.2">
      <c r="A51">
        <v>50</v>
      </c>
      <c r="B51" s="1">
        <v>45609</v>
      </c>
      <c r="C51" t="s">
        <v>5</v>
      </c>
      <c r="E51">
        <v>74.400000000000006</v>
      </c>
      <c r="H51" s="1">
        <v>45042</v>
      </c>
      <c r="I51" s="20">
        <f>AVERAGE(E11:E14)</f>
        <v>78.674999999999997</v>
      </c>
      <c r="J51" s="26">
        <v>4</v>
      </c>
      <c r="W51">
        <v>50</v>
      </c>
      <c r="X51" s="1">
        <v>45665</v>
      </c>
      <c r="Y51" t="s">
        <v>5</v>
      </c>
      <c r="Z51">
        <v>78.599999999999994</v>
      </c>
    </row>
    <row r="52" spans="1:26" ht="17" thickBot="1" x14ac:dyDescent="0.25">
      <c r="A52">
        <v>51</v>
      </c>
      <c r="B52" s="1">
        <v>45609</v>
      </c>
      <c r="C52" t="s">
        <v>5</v>
      </c>
      <c r="E52">
        <v>79.099999999999994</v>
      </c>
      <c r="H52" s="1">
        <v>45070</v>
      </c>
      <c r="I52" s="20">
        <f>AVERAGE(E15:E16)</f>
        <v>85</v>
      </c>
      <c r="J52" s="26">
        <v>2</v>
      </c>
      <c r="W52">
        <v>51</v>
      </c>
      <c r="X52" s="1">
        <v>45483</v>
      </c>
      <c r="Y52" t="s">
        <v>5</v>
      </c>
      <c r="Z52">
        <v>78.7</v>
      </c>
    </row>
    <row r="53" spans="1:26" x14ac:dyDescent="0.2">
      <c r="A53">
        <v>52</v>
      </c>
      <c r="B53" s="1">
        <v>45609</v>
      </c>
      <c r="C53" t="s">
        <v>5</v>
      </c>
      <c r="E53">
        <v>74.400000000000006</v>
      </c>
      <c r="H53" s="6">
        <v>45210</v>
      </c>
      <c r="I53" s="20">
        <f>AVERAGE(E17:E20)</f>
        <v>77.550000000000011</v>
      </c>
      <c r="J53" s="26">
        <v>4</v>
      </c>
      <c r="W53">
        <v>52</v>
      </c>
      <c r="X53" s="1">
        <v>45518</v>
      </c>
      <c r="Y53" t="s">
        <v>5</v>
      </c>
      <c r="Z53">
        <v>78.7</v>
      </c>
    </row>
    <row r="54" spans="1:26" x14ac:dyDescent="0.2">
      <c r="A54">
        <v>53</v>
      </c>
      <c r="B54" s="1">
        <v>45623</v>
      </c>
      <c r="C54" t="s">
        <v>5</v>
      </c>
      <c r="E54">
        <v>81.3</v>
      </c>
      <c r="H54" s="1">
        <v>45245</v>
      </c>
      <c r="I54" s="20">
        <f>AVERAGE(E21:E23)</f>
        <v>80.566666666666663</v>
      </c>
      <c r="J54" s="26">
        <v>3</v>
      </c>
      <c r="W54">
        <v>53</v>
      </c>
      <c r="X54" s="1">
        <v>45609</v>
      </c>
      <c r="Y54" t="s">
        <v>5</v>
      </c>
      <c r="Z54">
        <v>78.7</v>
      </c>
    </row>
    <row r="55" spans="1:26" x14ac:dyDescent="0.2">
      <c r="A55">
        <v>54</v>
      </c>
      <c r="B55" s="1">
        <v>45623</v>
      </c>
      <c r="C55" t="s">
        <v>5</v>
      </c>
      <c r="E55">
        <v>93.6</v>
      </c>
      <c r="H55" s="1">
        <v>45315</v>
      </c>
      <c r="I55" s="20">
        <f>AVERAGE(E24:E25)</f>
        <v>79.199999999999989</v>
      </c>
      <c r="J55" s="26">
        <v>2</v>
      </c>
      <c r="W55">
        <v>54</v>
      </c>
      <c r="X55" s="1">
        <v>45735</v>
      </c>
      <c r="Y55" t="s">
        <v>21</v>
      </c>
      <c r="Z55">
        <v>78.7</v>
      </c>
    </row>
    <row r="56" spans="1:26" x14ac:dyDescent="0.2">
      <c r="A56">
        <v>55</v>
      </c>
      <c r="B56" s="1">
        <v>45623</v>
      </c>
      <c r="C56" t="s">
        <v>5</v>
      </c>
      <c r="E56">
        <v>84.1</v>
      </c>
      <c r="H56" s="1">
        <v>45352</v>
      </c>
      <c r="I56" s="20">
        <f>AVERAGE(E26:E27)</f>
        <v>75.75</v>
      </c>
      <c r="J56" s="26">
        <v>2</v>
      </c>
      <c r="W56">
        <v>55</v>
      </c>
      <c r="X56" s="1">
        <v>45210</v>
      </c>
      <c r="Y56" t="s">
        <v>5</v>
      </c>
      <c r="Z56">
        <v>78.900000000000006</v>
      </c>
    </row>
    <row r="57" spans="1:26" x14ac:dyDescent="0.2">
      <c r="A57">
        <v>56</v>
      </c>
      <c r="B57" s="1">
        <v>45623</v>
      </c>
      <c r="C57" t="s">
        <v>5</v>
      </c>
      <c r="E57">
        <v>72.400000000000006</v>
      </c>
      <c r="H57" s="1">
        <v>45392</v>
      </c>
      <c r="I57" s="20">
        <f>AVERAGE(E28:E29)</f>
        <v>77.150000000000006</v>
      </c>
      <c r="J57" s="26">
        <v>2</v>
      </c>
      <c r="W57">
        <v>56</v>
      </c>
      <c r="X57" s="1">
        <v>44916</v>
      </c>
      <c r="Y57" t="s">
        <v>5</v>
      </c>
      <c r="Z57">
        <v>79.099999999999994</v>
      </c>
    </row>
    <row r="58" spans="1:26" ht="17" thickBot="1" x14ac:dyDescent="0.25">
      <c r="A58">
        <v>57</v>
      </c>
      <c r="B58" s="1">
        <v>45637</v>
      </c>
      <c r="C58" t="s">
        <v>5</v>
      </c>
      <c r="E58">
        <v>82.4</v>
      </c>
      <c r="H58" s="1">
        <v>45483</v>
      </c>
      <c r="I58" s="20">
        <f>AVERAGE(E30:E34)</f>
        <v>77.599999999999994</v>
      </c>
      <c r="J58" s="26">
        <v>5</v>
      </c>
      <c r="W58">
        <v>57</v>
      </c>
      <c r="X58" s="1">
        <v>45483</v>
      </c>
      <c r="Y58" t="s">
        <v>5</v>
      </c>
      <c r="Z58">
        <v>79.099999999999994</v>
      </c>
    </row>
    <row r="59" spans="1:26" x14ac:dyDescent="0.2">
      <c r="A59">
        <v>58</v>
      </c>
      <c r="B59" s="1">
        <v>45637</v>
      </c>
      <c r="C59" t="s">
        <v>21</v>
      </c>
      <c r="E59">
        <v>80.2</v>
      </c>
      <c r="H59" s="6">
        <v>45518</v>
      </c>
      <c r="I59" s="20">
        <f>AVERAGE(E35:E37)</f>
        <v>75.533333333333317</v>
      </c>
      <c r="J59" s="26">
        <v>3</v>
      </c>
      <c r="W59">
        <v>58</v>
      </c>
      <c r="X59" s="1">
        <v>45609</v>
      </c>
      <c r="Y59" t="s">
        <v>5</v>
      </c>
      <c r="Z59">
        <v>79.099999999999994</v>
      </c>
    </row>
    <row r="60" spans="1:26" x14ac:dyDescent="0.2">
      <c r="A60">
        <v>59</v>
      </c>
      <c r="B60" s="1">
        <v>45644</v>
      </c>
      <c r="C60" t="s">
        <v>21</v>
      </c>
      <c r="E60">
        <v>75.8</v>
      </c>
      <c r="H60" s="1">
        <v>45553</v>
      </c>
      <c r="I60" s="20">
        <f>AVERAGE(E38:E40)</f>
        <v>81.100000000000009</v>
      </c>
      <c r="J60" s="26">
        <v>3</v>
      </c>
      <c r="W60">
        <v>59</v>
      </c>
      <c r="X60" s="1">
        <v>44937</v>
      </c>
      <c r="Y60" t="s">
        <v>5</v>
      </c>
      <c r="Z60">
        <v>79.2</v>
      </c>
    </row>
    <row r="61" spans="1:26" x14ac:dyDescent="0.2">
      <c r="A61">
        <v>60</v>
      </c>
      <c r="B61" s="1">
        <v>45644</v>
      </c>
      <c r="C61" t="s">
        <v>21</v>
      </c>
      <c r="E61">
        <v>77.599999999999994</v>
      </c>
      <c r="H61" s="1">
        <v>45567</v>
      </c>
      <c r="I61" s="20">
        <f>E41</f>
        <v>87.1</v>
      </c>
      <c r="J61" s="26">
        <v>1</v>
      </c>
      <c r="W61">
        <v>60</v>
      </c>
      <c r="X61" s="1">
        <v>45721</v>
      </c>
      <c r="Y61" t="s">
        <v>5</v>
      </c>
      <c r="Z61" s="20">
        <v>79.3</v>
      </c>
    </row>
    <row r="62" spans="1:26" x14ac:dyDescent="0.2">
      <c r="A62">
        <v>61</v>
      </c>
      <c r="B62" s="1">
        <v>45665</v>
      </c>
      <c r="C62" t="s">
        <v>21</v>
      </c>
      <c r="E62">
        <v>82.7</v>
      </c>
      <c r="H62" s="1">
        <v>45581</v>
      </c>
      <c r="I62" s="20">
        <f>AVERAGE(E42:E44)</f>
        <v>72.733333333333334</v>
      </c>
      <c r="J62" s="26">
        <v>3</v>
      </c>
      <c r="W62">
        <v>61</v>
      </c>
      <c r="X62" s="1">
        <v>45042</v>
      </c>
      <c r="Y62" t="s">
        <v>5</v>
      </c>
      <c r="Z62">
        <v>79.7</v>
      </c>
    </row>
    <row r="63" spans="1:26" x14ac:dyDescent="0.2">
      <c r="A63">
        <v>62</v>
      </c>
      <c r="B63" s="1">
        <v>45665</v>
      </c>
      <c r="C63" t="s">
        <v>21</v>
      </c>
      <c r="E63">
        <v>79.7</v>
      </c>
      <c r="H63" s="1">
        <v>45595</v>
      </c>
      <c r="I63" s="20">
        <f>AVERAGE(E45:E47)</f>
        <v>84.266666666666666</v>
      </c>
      <c r="J63" s="26">
        <v>3</v>
      </c>
      <c r="W63">
        <v>62</v>
      </c>
      <c r="X63" s="1">
        <v>45609</v>
      </c>
      <c r="Y63" t="s">
        <v>5</v>
      </c>
      <c r="Z63">
        <v>79.7</v>
      </c>
    </row>
    <row r="64" spans="1:26" x14ac:dyDescent="0.2">
      <c r="A64">
        <v>63</v>
      </c>
      <c r="B64" s="1">
        <v>45665</v>
      </c>
      <c r="C64" t="s">
        <v>5</v>
      </c>
      <c r="E64">
        <v>80.2</v>
      </c>
      <c r="H64" s="1">
        <v>45609</v>
      </c>
      <c r="I64" s="20">
        <f>AVERAGE(E48:E53)</f>
        <v>76.533333333333346</v>
      </c>
      <c r="J64" s="26">
        <v>6</v>
      </c>
      <c r="W64">
        <v>63</v>
      </c>
      <c r="X64" s="1">
        <v>45665</v>
      </c>
      <c r="Y64" t="s">
        <v>21</v>
      </c>
      <c r="Z64">
        <v>79.7</v>
      </c>
    </row>
    <row r="65" spans="1:26" x14ac:dyDescent="0.2">
      <c r="A65">
        <v>64</v>
      </c>
      <c r="B65" s="1">
        <v>45665</v>
      </c>
      <c r="C65" t="s">
        <v>5</v>
      </c>
      <c r="E65">
        <v>78.599999999999994</v>
      </c>
      <c r="H65" s="1">
        <v>45623</v>
      </c>
      <c r="I65" s="20">
        <f>AVERAGE(E54:E57)</f>
        <v>82.85</v>
      </c>
      <c r="J65" s="26">
        <v>4</v>
      </c>
      <c r="W65">
        <v>64</v>
      </c>
      <c r="X65" s="1">
        <v>45553</v>
      </c>
      <c r="Y65" t="s">
        <v>5</v>
      </c>
      <c r="Z65">
        <v>79.900000000000006</v>
      </c>
    </row>
    <row r="66" spans="1:26" x14ac:dyDescent="0.2">
      <c r="A66">
        <v>65</v>
      </c>
      <c r="B66" s="1">
        <v>45665</v>
      </c>
      <c r="C66" t="s">
        <v>5</v>
      </c>
      <c r="E66">
        <v>73.3</v>
      </c>
      <c r="H66" s="1">
        <v>45637</v>
      </c>
      <c r="I66">
        <f>AVERAGE(E58:E59)</f>
        <v>81.300000000000011</v>
      </c>
      <c r="J66" s="26">
        <v>2</v>
      </c>
      <c r="W66">
        <v>65</v>
      </c>
      <c r="X66" s="1">
        <v>45861</v>
      </c>
      <c r="Y66" t="s">
        <v>21</v>
      </c>
      <c r="Z66">
        <v>80</v>
      </c>
    </row>
    <row r="67" spans="1:26" x14ac:dyDescent="0.2">
      <c r="A67">
        <v>66</v>
      </c>
      <c r="B67" s="1">
        <v>45665</v>
      </c>
      <c r="C67" t="s">
        <v>5</v>
      </c>
      <c r="E67">
        <v>75.3</v>
      </c>
      <c r="H67" s="1">
        <v>45644</v>
      </c>
      <c r="I67">
        <f>AVERAGE(E60:E61)</f>
        <v>76.699999999999989</v>
      </c>
      <c r="J67" s="26">
        <v>2</v>
      </c>
      <c r="W67">
        <v>66</v>
      </c>
      <c r="X67" s="1">
        <v>45483</v>
      </c>
      <c r="Y67" t="s">
        <v>5</v>
      </c>
      <c r="Z67">
        <v>80.099999999999994</v>
      </c>
    </row>
    <row r="68" spans="1:26" x14ac:dyDescent="0.2">
      <c r="A68">
        <v>67</v>
      </c>
      <c r="B68" s="1">
        <v>45679</v>
      </c>
      <c r="C68" t="s">
        <v>5</v>
      </c>
      <c r="E68">
        <v>85.3</v>
      </c>
      <c r="H68" s="1">
        <v>45665</v>
      </c>
      <c r="I68">
        <f>AVERAGE(E62:E67)</f>
        <v>78.300000000000011</v>
      </c>
      <c r="J68" s="26">
        <v>6</v>
      </c>
      <c r="W68">
        <v>67</v>
      </c>
      <c r="X68" s="1">
        <v>44909</v>
      </c>
      <c r="Y68" t="s">
        <v>5</v>
      </c>
      <c r="Z68">
        <v>80.2</v>
      </c>
    </row>
    <row r="69" spans="1:26" x14ac:dyDescent="0.2">
      <c r="A69">
        <v>68</v>
      </c>
      <c r="B69" s="1">
        <v>45679</v>
      </c>
      <c r="C69" t="s">
        <v>5</v>
      </c>
      <c r="E69">
        <v>77.099999999999994</v>
      </c>
      <c r="H69" s="1">
        <v>45679</v>
      </c>
      <c r="I69">
        <f>AVERAGE(E68:E69)</f>
        <v>81.199999999999989</v>
      </c>
      <c r="J69" s="26">
        <v>2</v>
      </c>
      <c r="W69">
        <v>68</v>
      </c>
      <c r="X69" s="1">
        <v>45553</v>
      </c>
      <c r="Y69" t="s">
        <v>5</v>
      </c>
      <c r="Z69">
        <v>80.2</v>
      </c>
    </row>
    <row r="70" spans="1:26" x14ac:dyDescent="0.2">
      <c r="A70">
        <v>69</v>
      </c>
      <c r="B70" s="1">
        <v>45693</v>
      </c>
      <c r="C70" t="s">
        <v>5</v>
      </c>
      <c r="E70">
        <v>48.6</v>
      </c>
      <c r="H70" s="1">
        <v>45693</v>
      </c>
      <c r="I70">
        <f>AVERAGE(E70:E71)</f>
        <v>61.849999999999994</v>
      </c>
      <c r="J70" s="26">
        <v>2</v>
      </c>
      <c r="W70">
        <v>69</v>
      </c>
      <c r="X70" s="1">
        <v>45637</v>
      </c>
      <c r="Y70" t="s">
        <v>21</v>
      </c>
      <c r="Z70">
        <v>80.2</v>
      </c>
    </row>
    <row r="71" spans="1:26" x14ac:dyDescent="0.2">
      <c r="A71">
        <v>70</v>
      </c>
      <c r="B71" s="1">
        <v>45693</v>
      </c>
      <c r="C71" t="s">
        <v>5</v>
      </c>
      <c r="E71">
        <v>75.099999999999994</v>
      </c>
      <c r="H71" s="1">
        <v>45721</v>
      </c>
      <c r="I71" s="20">
        <f>AVERAGE(E72:E75)</f>
        <v>78.05</v>
      </c>
      <c r="J71" s="26">
        <v>4</v>
      </c>
      <c r="W71">
        <v>70</v>
      </c>
      <c r="X71" s="1">
        <v>45665</v>
      </c>
      <c r="Y71" t="s">
        <v>5</v>
      </c>
      <c r="Z71">
        <v>80.2</v>
      </c>
    </row>
    <row r="72" spans="1:26" x14ac:dyDescent="0.2">
      <c r="A72">
        <v>71</v>
      </c>
      <c r="B72" s="1">
        <v>45721</v>
      </c>
      <c r="C72" t="s">
        <v>5</v>
      </c>
      <c r="E72" s="20">
        <v>72.3</v>
      </c>
      <c r="H72" s="1">
        <v>45735</v>
      </c>
      <c r="I72" s="20">
        <f>AVERAGE(E76:E81)</f>
        <v>79.383333333333326</v>
      </c>
      <c r="J72" s="26">
        <v>6</v>
      </c>
      <c r="W72">
        <v>71</v>
      </c>
      <c r="X72" s="1">
        <v>45805</v>
      </c>
      <c r="Y72" t="s">
        <v>5</v>
      </c>
      <c r="Z72">
        <v>80.3</v>
      </c>
    </row>
    <row r="73" spans="1:26" x14ac:dyDescent="0.2">
      <c r="A73">
        <v>72</v>
      </c>
      <c r="B73" s="1">
        <v>45721</v>
      </c>
      <c r="C73" t="s">
        <v>5</v>
      </c>
      <c r="E73" s="20">
        <v>78.5</v>
      </c>
      <c r="H73" s="1">
        <v>45749</v>
      </c>
      <c r="I73">
        <f>AVERAGE(E82:E84)</f>
        <v>74.899999999999991</v>
      </c>
      <c r="J73" s="26">
        <v>3</v>
      </c>
      <c r="W73">
        <v>72</v>
      </c>
      <c r="X73" s="1">
        <v>45847</v>
      </c>
      <c r="Y73" t="s">
        <v>21</v>
      </c>
      <c r="Z73">
        <v>80.8</v>
      </c>
    </row>
    <row r="74" spans="1:26" x14ac:dyDescent="0.2">
      <c r="A74">
        <v>73</v>
      </c>
      <c r="B74" s="1">
        <v>45721</v>
      </c>
      <c r="C74" t="s">
        <v>5</v>
      </c>
      <c r="E74">
        <v>82.1</v>
      </c>
      <c r="H74" s="1">
        <v>45763</v>
      </c>
      <c r="I74" s="20">
        <f>AVERAGE(E85:E87)</f>
        <v>78.966666666666669</v>
      </c>
      <c r="J74" s="26">
        <v>3</v>
      </c>
      <c r="W74">
        <v>73</v>
      </c>
      <c r="X74" s="1">
        <v>45735</v>
      </c>
      <c r="Y74" t="s">
        <v>21</v>
      </c>
      <c r="Z74">
        <v>81.2</v>
      </c>
    </row>
    <row r="75" spans="1:26" x14ac:dyDescent="0.2">
      <c r="A75">
        <v>74</v>
      </c>
      <c r="B75" s="1">
        <v>45721</v>
      </c>
      <c r="C75" t="s">
        <v>5</v>
      </c>
      <c r="E75" s="20">
        <v>79.3</v>
      </c>
      <c r="H75" s="1">
        <v>45777</v>
      </c>
      <c r="I75" s="20">
        <f>AVERAGE(E88:E91)</f>
        <v>83.750000000000014</v>
      </c>
      <c r="J75" s="26">
        <v>4</v>
      </c>
      <c r="W75">
        <v>74</v>
      </c>
      <c r="X75" s="1">
        <v>45623</v>
      </c>
      <c r="Y75" t="s">
        <v>5</v>
      </c>
      <c r="Z75">
        <v>81.3</v>
      </c>
    </row>
    <row r="76" spans="1:26" x14ac:dyDescent="0.2">
      <c r="A76">
        <v>75</v>
      </c>
      <c r="B76" s="1">
        <v>45735</v>
      </c>
      <c r="C76" t="s">
        <v>21</v>
      </c>
      <c r="E76">
        <v>83</v>
      </c>
      <c r="H76" s="1">
        <v>45791</v>
      </c>
      <c r="I76" s="20">
        <f>AVERAGE(E92:E94)</f>
        <v>77.566666666666663</v>
      </c>
      <c r="J76" s="26">
        <v>3</v>
      </c>
      <c r="W76">
        <v>75</v>
      </c>
      <c r="X76" s="1">
        <v>45931</v>
      </c>
      <c r="Y76" t="s">
        <v>5</v>
      </c>
      <c r="Z76">
        <v>81.3</v>
      </c>
    </row>
    <row r="77" spans="1:26" x14ac:dyDescent="0.2">
      <c r="A77">
        <v>76</v>
      </c>
      <c r="B77" s="1">
        <v>45735</v>
      </c>
      <c r="C77" t="s">
        <v>21</v>
      </c>
      <c r="E77">
        <v>77.099999999999994</v>
      </c>
      <c r="H77" s="1">
        <v>45805</v>
      </c>
      <c r="I77">
        <f>AVERAGE(E95:E99)</f>
        <v>79.960000000000008</v>
      </c>
      <c r="J77" s="26">
        <v>5</v>
      </c>
      <c r="W77">
        <v>76</v>
      </c>
      <c r="X77" s="1">
        <v>45042</v>
      </c>
      <c r="Y77" t="s">
        <v>21</v>
      </c>
      <c r="Z77">
        <v>81.5</v>
      </c>
    </row>
    <row r="78" spans="1:26" x14ac:dyDescent="0.2">
      <c r="A78">
        <v>77</v>
      </c>
      <c r="B78" s="1">
        <v>45735</v>
      </c>
      <c r="C78" t="s">
        <v>21</v>
      </c>
      <c r="E78">
        <v>78.7</v>
      </c>
      <c r="H78" s="1">
        <v>45819</v>
      </c>
      <c r="I78">
        <f>E100</f>
        <v>83.6</v>
      </c>
      <c r="J78" s="26">
        <v>1</v>
      </c>
      <c r="W78">
        <v>77</v>
      </c>
      <c r="X78" s="35">
        <v>45917</v>
      </c>
      <c r="Y78" s="36" t="s">
        <v>5</v>
      </c>
      <c r="Z78" s="36">
        <v>81.5</v>
      </c>
    </row>
    <row r="79" spans="1:26" x14ac:dyDescent="0.2">
      <c r="A79">
        <v>78</v>
      </c>
      <c r="B79" s="1">
        <v>45735</v>
      </c>
      <c r="C79" t="s">
        <v>21</v>
      </c>
      <c r="E79">
        <v>81.2</v>
      </c>
      <c r="H79" s="1">
        <v>45833</v>
      </c>
      <c r="I79" s="20">
        <f>AVERAGE(E101:E103)</f>
        <v>86.566666666666663</v>
      </c>
      <c r="J79" s="26">
        <v>3</v>
      </c>
      <c r="W79">
        <v>78</v>
      </c>
      <c r="X79" s="1">
        <v>45014</v>
      </c>
      <c r="Y79" t="s">
        <v>5</v>
      </c>
      <c r="Z79">
        <v>81.599999999999994</v>
      </c>
    </row>
    <row r="80" spans="1:26" x14ac:dyDescent="0.2">
      <c r="A80">
        <v>79</v>
      </c>
      <c r="B80" s="1">
        <v>45735</v>
      </c>
      <c r="C80" t="s">
        <v>21</v>
      </c>
      <c r="E80">
        <v>77.900000000000006</v>
      </c>
      <c r="H80" s="1">
        <v>45847</v>
      </c>
      <c r="I80">
        <f>AVERAGE(E104:E105)</f>
        <v>82.4</v>
      </c>
      <c r="J80" s="26">
        <v>2</v>
      </c>
      <c r="W80">
        <v>79</v>
      </c>
      <c r="X80" s="1">
        <v>45763</v>
      </c>
      <c r="Y80" t="s">
        <v>21</v>
      </c>
      <c r="Z80">
        <v>81.599999999999994</v>
      </c>
    </row>
    <row r="81" spans="1:26" x14ac:dyDescent="0.2">
      <c r="A81">
        <v>80</v>
      </c>
      <c r="B81" s="1">
        <v>45735</v>
      </c>
      <c r="C81" t="s">
        <v>21</v>
      </c>
      <c r="E81">
        <v>78.400000000000006</v>
      </c>
      <c r="H81" s="1">
        <v>45861</v>
      </c>
      <c r="I81">
        <f>AVERAGE(E106:E108)</f>
        <v>82.5</v>
      </c>
      <c r="J81" s="26">
        <v>3</v>
      </c>
      <c r="W81">
        <v>80</v>
      </c>
      <c r="X81" s="1">
        <v>45749</v>
      </c>
      <c r="Y81" t="s">
        <v>21</v>
      </c>
      <c r="Z81">
        <v>82</v>
      </c>
    </row>
    <row r="82" spans="1:26" x14ac:dyDescent="0.2">
      <c r="A82">
        <v>81</v>
      </c>
      <c r="B82" s="1">
        <v>45749</v>
      </c>
      <c r="C82" t="s">
        <v>21</v>
      </c>
      <c r="E82">
        <v>78.400000000000006</v>
      </c>
      <c r="H82" s="1">
        <v>45889</v>
      </c>
      <c r="I82">
        <f>E109</f>
        <v>85.9</v>
      </c>
      <c r="J82" s="26">
        <v>1</v>
      </c>
      <c r="W82">
        <v>81</v>
      </c>
      <c r="X82" s="1">
        <v>45833</v>
      </c>
      <c r="Y82" t="s">
        <v>5</v>
      </c>
      <c r="Z82">
        <v>82</v>
      </c>
    </row>
    <row r="83" spans="1:26" x14ac:dyDescent="0.2">
      <c r="A83">
        <v>82</v>
      </c>
      <c r="B83" s="1">
        <v>45749</v>
      </c>
      <c r="C83" t="s">
        <v>21</v>
      </c>
      <c r="E83">
        <v>64.3</v>
      </c>
      <c r="H83" s="1">
        <v>45903</v>
      </c>
      <c r="I83" s="20">
        <f>AVERAGE(E110:E113)</f>
        <v>87.025000000000006</v>
      </c>
      <c r="J83" s="26">
        <v>4</v>
      </c>
      <c r="W83">
        <v>82</v>
      </c>
      <c r="X83" s="1">
        <v>45721</v>
      </c>
      <c r="Y83" t="s">
        <v>5</v>
      </c>
      <c r="Z83">
        <v>82.1</v>
      </c>
    </row>
    <row r="84" spans="1:26" x14ac:dyDescent="0.2">
      <c r="A84">
        <v>83</v>
      </c>
      <c r="B84" s="1">
        <v>45749</v>
      </c>
      <c r="C84" t="s">
        <v>21</v>
      </c>
      <c r="E84">
        <v>82</v>
      </c>
      <c r="H84" s="1">
        <v>45917</v>
      </c>
      <c r="I84">
        <f>AVERAGE(E114:E119)</f>
        <v>86.3</v>
      </c>
      <c r="J84" s="26">
        <v>6</v>
      </c>
      <c r="W84">
        <v>83</v>
      </c>
      <c r="X84" s="1">
        <v>44902</v>
      </c>
      <c r="Y84" t="s">
        <v>5</v>
      </c>
      <c r="Z84">
        <v>82.3</v>
      </c>
    </row>
    <row r="85" spans="1:26" x14ac:dyDescent="0.2">
      <c r="A85">
        <v>84</v>
      </c>
      <c r="B85" s="1">
        <v>45763</v>
      </c>
      <c r="C85" t="s">
        <v>21</v>
      </c>
      <c r="E85">
        <v>69.900000000000006</v>
      </c>
      <c r="H85" s="1">
        <v>45931</v>
      </c>
      <c r="I85" s="20">
        <f>AVERAGE(E120:E123)</f>
        <v>83.775000000000006</v>
      </c>
      <c r="J85" s="26">
        <v>4</v>
      </c>
      <c r="W85">
        <v>84</v>
      </c>
      <c r="X85" s="1">
        <v>45805</v>
      </c>
      <c r="Y85" t="s">
        <v>5</v>
      </c>
      <c r="Z85">
        <v>82.3</v>
      </c>
    </row>
    <row r="86" spans="1:26" x14ac:dyDescent="0.2">
      <c r="A86">
        <v>85</v>
      </c>
      <c r="B86" s="1">
        <v>45763</v>
      </c>
      <c r="C86" t="s">
        <v>21</v>
      </c>
      <c r="E86">
        <v>81.599999999999994</v>
      </c>
      <c r="H86" s="1">
        <v>45945</v>
      </c>
      <c r="I86" s="20">
        <f>AVERAGE(E124:E127)</f>
        <v>81.05</v>
      </c>
      <c r="J86" s="26">
        <v>4</v>
      </c>
      <c r="W86">
        <v>85</v>
      </c>
      <c r="X86" s="1">
        <v>45861</v>
      </c>
      <c r="Y86" t="s">
        <v>21</v>
      </c>
      <c r="Z86">
        <v>82.3</v>
      </c>
    </row>
    <row r="87" spans="1:26" x14ac:dyDescent="0.2">
      <c r="A87">
        <v>86</v>
      </c>
      <c r="B87" s="1">
        <v>45763</v>
      </c>
      <c r="C87" t="s">
        <v>5</v>
      </c>
      <c r="E87">
        <v>85.4</v>
      </c>
      <c r="H87" s="1">
        <v>45959</v>
      </c>
      <c r="I87">
        <f>E128</f>
        <v>88.8</v>
      </c>
      <c r="J87" s="26">
        <v>1</v>
      </c>
      <c r="W87">
        <v>86</v>
      </c>
      <c r="X87" s="1">
        <v>45245</v>
      </c>
      <c r="Y87" t="s">
        <v>5</v>
      </c>
      <c r="Z87">
        <v>82.4</v>
      </c>
    </row>
    <row r="88" spans="1:26" x14ac:dyDescent="0.2">
      <c r="A88">
        <v>87</v>
      </c>
      <c r="B88" s="1">
        <v>45777</v>
      </c>
      <c r="C88" t="s">
        <v>5</v>
      </c>
      <c r="E88">
        <v>82.8</v>
      </c>
      <c r="H88" s="1">
        <v>45973</v>
      </c>
      <c r="I88" s="20">
        <f>AVERAGE(E129:E130)</f>
        <v>87.55</v>
      </c>
      <c r="J88" s="26">
        <v>2</v>
      </c>
      <c r="W88">
        <v>87</v>
      </c>
      <c r="X88" s="1">
        <v>45637</v>
      </c>
      <c r="Y88" t="s">
        <v>5</v>
      </c>
      <c r="Z88">
        <v>82.4</v>
      </c>
    </row>
    <row r="89" spans="1:26" x14ac:dyDescent="0.2">
      <c r="A89">
        <v>88</v>
      </c>
      <c r="B89" s="1">
        <v>45777</v>
      </c>
      <c r="C89" t="s">
        <v>5</v>
      </c>
      <c r="E89">
        <v>83.5</v>
      </c>
      <c r="H89" s="1">
        <v>45987</v>
      </c>
      <c r="I89" s="20">
        <f>AVERAGE(E131:E134)</f>
        <v>87.05</v>
      </c>
      <c r="J89" s="26">
        <v>4</v>
      </c>
      <c r="W89">
        <v>88</v>
      </c>
      <c r="X89" s="35">
        <v>45903</v>
      </c>
      <c r="Y89" s="36" t="s">
        <v>5</v>
      </c>
      <c r="Z89" s="36">
        <v>82.5</v>
      </c>
    </row>
    <row r="90" spans="1:26" x14ac:dyDescent="0.2">
      <c r="A90">
        <v>89</v>
      </c>
      <c r="B90" s="1">
        <v>45777</v>
      </c>
      <c r="C90" t="s">
        <v>5</v>
      </c>
      <c r="E90">
        <v>92.9</v>
      </c>
      <c r="H90" s="1">
        <v>46043</v>
      </c>
      <c r="I90">
        <f>AVERAGE(E135:E139)</f>
        <v>87.919999999999987</v>
      </c>
      <c r="J90" s="38">
        <v>5</v>
      </c>
      <c r="W90">
        <v>89</v>
      </c>
      <c r="X90" s="1">
        <v>45665</v>
      </c>
      <c r="Y90" t="s">
        <v>21</v>
      </c>
      <c r="Z90">
        <v>82.7</v>
      </c>
    </row>
    <row r="91" spans="1:26" x14ac:dyDescent="0.2">
      <c r="A91">
        <v>90</v>
      </c>
      <c r="B91" s="1">
        <v>45777</v>
      </c>
      <c r="C91" t="s">
        <v>5</v>
      </c>
      <c r="E91">
        <v>75.8</v>
      </c>
      <c r="H91" s="1">
        <v>46057</v>
      </c>
      <c r="I91">
        <f>AVERAGE(E140:E142)</f>
        <v>88.3</v>
      </c>
      <c r="J91" s="38">
        <v>3</v>
      </c>
      <c r="W91">
        <v>90</v>
      </c>
      <c r="X91" s="1">
        <v>45245</v>
      </c>
      <c r="Y91" t="s">
        <v>5</v>
      </c>
      <c r="Z91">
        <v>82.8</v>
      </c>
    </row>
    <row r="92" spans="1:26" x14ac:dyDescent="0.2">
      <c r="A92">
        <v>91</v>
      </c>
      <c r="B92" s="1">
        <v>45791</v>
      </c>
      <c r="C92" t="s">
        <v>5</v>
      </c>
      <c r="E92">
        <v>86.2</v>
      </c>
      <c r="H92" s="1">
        <v>46085</v>
      </c>
      <c r="I92">
        <f>AVERAGE(E143:E147)</f>
        <v>88.64</v>
      </c>
      <c r="J92" s="38">
        <v>5</v>
      </c>
      <c r="W92">
        <v>91</v>
      </c>
      <c r="X92" s="1">
        <v>45777</v>
      </c>
      <c r="Y92" t="s">
        <v>5</v>
      </c>
      <c r="Z92">
        <v>82.8</v>
      </c>
    </row>
    <row r="93" spans="1:26" x14ac:dyDescent="0.2">
      <c r="A93">
        <v>92</v>
      </c>
      <c r="B93" s="1">
        <v>45791</v>
      </c>
      <c r="C93" t="s">
        <v>5</v>
      </c>
      <c r="E93">
        <v>78.2</v>
      </c>
      <c r="H93" s="1">
        <v>46099</v>
      </c>
      <c r="I93">
        <f>AVERAGE(E148:E149)</f>
        <v>87.1</v>
      </c>
      <c r="J93" s="38">
        <v>2</v>
      </c>
      <c r="W93">
        <v>92</v>
      </c>
      <c r="X93" s="1">
        <v>45931</v>
      </c>
      <c r="Y93" t="s">
        <v>5</v>
      </c>
      <c r="Z93">
        <v>82.8</v>
      </c>
    </row>
    <row r="94" spans="1:26" x14ac:dyDescent="0.2">
      <c r="A94">
        <v>93</v>
      </c>
      <c r="B94" s="1">
        <v>45791</v>
      </c>
      <c r="C94" t="s">
        <v>5</v>
      </c>
      <c r="E94">
        <v>68.3</v>
      </c>
      <c r="H94" s="1">
        <v>46113</v>
      </c>
      <c r="I94">
        <f>AVERAGE(E150:E157)</f>
        <v>81.25</v>
      </c>
      <c r="J94" s="38">
        <v>8</v>
      </c>
      <c r="W94">
        <v>93</v>
      </c>
      <c r="X94" s="1">
        <v>45735</v>
      </c>
      <c r="Y94" t="s">
        <v>21</v>
      </c>
      <c r="Z94">
        <v>83</v>
      </c>
    </row>
    <row r="95" spans="1:26" x14ac:dyDescent="0.2">
      <c r="A95">
        <v>94</v>
      </c>
      <c r="B95" s="1">
        <v>45805</v>
      </c>
      <c r="C95" t="s">
        <v>5</v>
      </c>
      <c r="E95">
        <v>78.5</v>
      </c>
      <c r="W95">
        <v>94</v>
      </c>
      <c r="X95" s="1">
        <v>45553</v>
      </c>
      <c r="Y95" t="s">
        <v>5</v>
      </c>
      <c r="Z95">
        <v>83.2</v>
      </c>
    </row>
    <row r="96" spans="1:26" x14ac:dyDescent="0.2">
      <c r="A96">
        <v>95</v>
      </c>
      <c r="B96" s="1">
        <v>45805</v>
      </c>
      <c r="C96" t="s">
        <v>5</v>
      </c>
      <c r="E96">
        <v>83.8</v>
      </c>
      <c r="W96">
        <v>95</v>
      </c>
      <c r="X96" s="1">
        <v>45973</v>
      </c>
      <c r="Y96" t="s">
        <v>5</v>
      </c>
      <c r="Z96">
        <v>83.3</v>
      </c>
    </row>
    <row r="97" spans="1:27" x14ac:dyDescent="0.2">
      <c r="A97">
        <v>96</v>
      </c>
      <c r="B97" s="1">
        <v>45805</v>
      </c>
      <c r="C97" t="s">
        <v>5</v>
      </c>
      <c r="E97">
        <v>80.3</v>
      </c>
      <c r="W97">
        <v>96</v>
      </c>
      <c r="X97" s="1">
        <v>45777</v>
      </c>
      <c r="Y97" t="s">
        <v>5</v>
      </c>
      <c r="Z97">
        <v>83.5</v>
      </c>
    </row>
    <row r="98" spans="1:27" x14ac:dyDescent="0.2">
      <c r="A98">
        <v>97</v>
      </c>
      <c r="B98" s="1">
        <v>45805</v>
      </c>
      <c r="C98" t="s">
        <v>5</v>
      </c>
      <c r="E98">
        <v>74.900000000000006</v>
      </c>
      <c r="W98">
        <v>97</v>
      </c>
      <c r="X98" s="1">
        <v>45595</v>
      </c>
      <c r="Y98" t="s">
        <v>5</v>
      </c>
      <c r="Z98">
        <v>83.6</v>
      </c>
    </row>
    <row r="99" spans="1:27" x14ac:dyDescent="0.2">
      <c r="A99">
        <v>98</v>
      </c>
      <c r="B99" s="1">
        <v>45805</v>
      </c>
      <c r="C99" t="s">
        <v>5</v>
      </c>
      <c r="E99">
        <v>82.3</v>
      </c>
      <c r="W99">
        <v>98</v>
      </c>
      <c r="X99" s="1">
        <v>45819</v>
      </c>
      <c r="Y99" t="s">
        <v>5</v>
      </c>
      <c r="Z99">
        <v>83.6</v>
      </c>
    </row>
    <row r="100" spans="1:27" x14ac:dyDescent="0.2">
      <c r="A100">
        <v>99</v>
      </c>
      <c r="B100" s="1">
        <v>45819</v>
      </c>
      <c r="C100" t="s">
        <v>5</v>
      </c>
      <c r="E100">
        <v>83.6</v>
      </c>
      <c r="W100">
        <v>99</v>
      </c>
      <c r="X100" s="1">
        <v>45903</v>
      </c>
      <c r="Y100" t="s">
        <v>5</v>
      </c>
      <c r="Z100">
        <v>83.6</v>
      </c>
    </row>
    <row r="101" spans="1:27" x14ac:dyDescent="0.2">
      <c r="A101">
        <v>100</v>
      </c>
      <c r="B101" s="1">
        <v>45833</v>
      </c>
      <c r="C101" t="s">
        <v>5</v>
      </c>
      <c r="E101">
        <v>88</v>
      </c>
      <c r="W101">
        <v>100</v>
      </c>
      <c r="X101" s="1">
        <v>45805</v>
      </c>
      <c r="Y101" t="s">
        <v>5</v>
      </c>
      <c r="Z101">
        <v>83.8</v>
      </c>
    </row>
    <row r="102" spans="1:27" x14ac:dyDescent="0.2">
      <c r="A102">
        <v>101</v>
      </c>
      <c r="B102" s="1">
        <v>45833</v>
      </c>
      <c r="C102" t="s">
        <v>5</v>
      </c>
      <c r="E102">
        <v>89.7</v>
      </c>
      <c r="W102">
        <v>101</v>
      </c>
      <c r="X102" s="1">
        <v>45070</v>
      </c>
      <c r="Y102" t="s">
        <v>5</v>
      </c>
      <c r="Z102">
        <v>84</v>
      </c>
    </row>
    <row r="103" spans="1:27" x14ac:dyDescent="0.2">
      <c r="A103">
        <v>102</v>
      </c>
      <c r="B103" s="1">
        <v>45833</v>
      </c>
      <c r="C103" t="s">
        <v>5</v>
      </c>
      <c r="E103">
        <v>82</v>
      </c>
      <c r="W103">
        <v>102</v>
      </c>
      <c r="X103" s="1">
        <v>45847</v>
      </c>
      <c r="Y103" t="s">
        <v>21</v>
      </c>
      <c r="Z103">
        <v>84</v>
      </c>
    </row>
    <row r="104" spans="1:27" x14ac:dyDescent="0.2">
      <c r="A104">
        <v>103</v>
      </c>
      <c r="B104" s="1">
        <v>45847</v>
      </c>
      <c r="C104" t="s">
        <v>21</v>
      </c>
      <c r="E104">
        <v>80.8</v>
      </c>
      <c r="W104">
        <v>103</v>
      </c>
      <c r="X104" s="1">
        <v>45315</v>
      </c>
      <c r="Y104" t="s">
        <v>5</v>
      </c>
      <c r="Z104">
        <v>84.1</v>
      </c>
    </row>
    <row r="105" spans="1:27" x14ac:dyDescent="0.2">
      <c r="A105">
        <v>104</v>
      </c>
      <c r="B105" s="1">
        <v>45847</v>
      </c>
      <c r="C105" t="s">
        <v>21</v>
      </c>
      <c r="E105">
        <v>84</v>
      </c>
      <c r="W105">
        <v>104</v>
      </c>
      <c r="X105" s="1">
        <v>45623</v>
      </c>
      <c r="Y105" t="s">
        <v>5</v>
      </c>
      <c r="Z105">
        <v>84.1</v>
      </c>
    </row>
    <row r="106" spans="1:27" x14ac:dyDescent="0.2">
      <c r="A106">
        <v>105</v>
      </c>
      <c r="B106" s="1">
        <v>45861</v>
      </c>
      <c r="C106" t="s">
        <v>21</v>
      </c>
      <c r="E106">
        <v>80</v>
      </c>
      <c r="W106">
        <v>105</v>
      </c>
      <c r="X106" s="1">
        <v>45595</v>
      </c>
      <c r="Y106" t="s">
        <v>5</v>
      </c>
      <c r="Z106">
        <v>84.3</v>
      </c>
    </row>
    <row r="107" spans="1:27" x14ac:dyDescent="0.2">
      <c r="A107">
        <v>106</v>
      </c>
      <c r="B107" s="1">
        <v>45861</v>
      </c>
      <c r="C107" t="s">
        <v>21</v>
      </c>
      <c r="E107">
        <v>85.2</v>
      </c>
      <c r="W107">
        <v>106</v>
      </c>
      <c r="X107" s="1">
        <v>45987</v>
      </c>
      <c r="Y107" t="s">
        <v>21</v>
      </c>
      <c r="Z107">
        <v>84.3</v>
      </c>
    </row>
    <row r="108" spans="1:27" x14ac:dyDescent="0.2">
      <c r="A108">
        <v>107</v>
      </c>
      <c r="B108" s="1">
        <v>45861</v>
      </c>
      <c r="C108" t="s">
        <v>21</v>
      </c>
      <c r="E108">
        <v>82.3</v>
      </c>
      <c r="W108">
        <v>107</v>
      </c>
      <c r="X108" s="1">
        <v>45595</v>
      </c>
      <c r="Y108" t="s">
        <v>5</v>
      </c>
      <c r="Z108">
        <v>84.9</v>
      </c>
    </row>
    <row r="109" spans="1:27" x14ac:dyDescent="0.2">
      <c r="A109">
        <v>108</v>
      </c>
      <c r="B109" s="1">
        <v>45889</v>
      </c>
      <c r="C109" t="s">
        <v>21</v>
      </c>
      <c r="E109">
        <v>85.9</v>
      </c>
      <c r="W109">
        <v>108</v>
      </c>
      <c r="X109" s="35">
        <v>45917</v>
      </c>
      <c r="Y109" s="36" t="s">
        <v>5</v>
      </c>
      <c r="Z109" s="36">
        <v>85</v>
      </c>
    </row>
    <row r="110" spans="1:27" x14ac:dyDescent="0.2">
      <c r="A110">
        <v>109</v>
      </c>
      <c r="B110" s="1">
        <v>45903</v>
      </c>
      <c r="C110" t="s">
        <v>5</v>
      </c>
      <c r="E110">
        <v>88.9</v>
      </c>
      <c r="W110">
        <v>109</v>
      </c>
      <c r="X110" s="1">
        <v>45931</v>
      </c>
      <c r="Y110" t="s">
        <v>5</v>
      </c>
      <c r="Z110">
        <v>85</v>
      </c>
      <c r="AA110" s="36"/>
    </row>
    <row r="111" spans="1:27" x14ac:dyDescent="0.2">
      <c r="A111">
        <v>110</v>
      </c>
      <c r="B111" s="1">
        <v>45903</v>
      </c>
      <c r="C111" t="s">
        <v>5</v>
      </c>
      <c r="E111">
        <v>83.6</v>
      </c>
      <c r="W111">
        <v>110</v>
      </c>
      <c r="X111" s="1">
        <v>45861</v>
      </c>
      <c r="Y111" t="s">
        <v>21</v>
      </c>
      <c r="Z111">
        <v>85.2</v>
      </c>
    </row>
    <row r="112" spans="1:27" x14ac:dyDescent="0.2">
      <c r="A112">
        <v>111</v>
      </c>
      <c r="B112" s="1">
        <v>45903</v>
      </c>
      <c r="C112" t="s">
        <v>5</v>
      </c>
      <c r="E112">
        <v>93.1</v>
      </c>
      <c r="W112">
        <v>111</v>
      </c>
      <c r="X112" s="1">
        <v>45679</v>
      </c>
      <c r="Y112" t="s">
        <v>5</v>
      </c>
      <c r="Z112">
        <v>85.3</v>
      </c>
    </row>
    <row r="113" spans="1:26" x14ac:dyDescent="0.2">
      <c r="A113">
        <v>112</v>
      </c>
      <c r="B113" s="35">
        <v>45903</v>
      </c>
      <c r="C113" s="36" t="s">
        <v>5</v>
      </c>
      <c r="D113" s="36"/>
      <c r="E113" s="36">
        <v>82.5</v>
      </c>
      <c r="W113">
        <v>112</v>
      </c>
      <c r="X113" s="1">
        <v>45763</v>
      </c>
      <c r="Y113" t="s">
        <v>5</v>
      </c>
      <c r="Z113">
        <v>85.4</v>
      </c>
    </row>
    <row r="114" spans="1:26" x14ac:dyDescent="0.2">
      <c r="A114">
        <v>113</v>
      </c>
      <c r="B114" s="1">
        <v>45917</v>
      </c>
      <c r="C114" t="s">
        <v>5</v>
      </c>
      <c r="E114">
        <v>90.7</v>
      </c>
      <c r="W114">
        <v>113</v>
      </c>
      <c r="X114" s="35">
        <v>46085</v>
      </c>
      <c r="Y114" t="s">
        <v>5</v>
      </c>
      <c r="Z114">
        <v>85.5</v>
      </c>
    </row>
    <row r="115" spans="1:26" x14ac:dyDescent="0.2">
      <c r="A115">
        <v>114</v>
      </c>
      <c r="B115" s="1">
        <v>45917</v>
      </c>
      <c r="C115" t="s">
        <v>5</v>
      </c>
      <c r="E115">
        <v>87.3</v>
      </c>
      <c r="W115">
        <v>114</v>
      </c>
      <c r="X115" s="1">
        <v>46099</v>
      </c>
      <c r="Y115" t="s">
        <v>5</v>
      </c>
      <c r="Z115">
        <v>85.5</v>
      </c>
    </row>
    <row r="116" spans="1:26" x14ac:dyDescent="0.2">
      <c r="A116">
        <v>115</v>
      </c>
      <c r="B116" s="1">
        <v>45917</v>
      </c>
      <c r="C116" t="s">
        <v>5</v>
      </c>
      <c r="E116">
        <v>86.2</v>
      </c>
      <c r="W116">
        <v>115</v>
      </c>
      <c r="X116" s="1">
        <v>46194</v>
      </c>
      <c r="Y116" t="s">
        <v>21</v>
      </c>
      <c r="Z116">
        <v>85.8</v>
      </c>
    </row>
    <row r="117" spans="1:26" x14ac:dyDescent="0.2">
      <c r="A117">
        <v>116</v>
      </c>
      <c r="B117" s="1">
        <v>45917</v>
      </c>
      <c r="C117" t="s">
        <v>5</v>
      </c>
      <c r="E117">
        <v>87.1</v>
      </c>
      <c r="W117">
        <v>116</v>
      </c>
      <c r="X117" s="1">
        <v>45889</v>
      </c>
      <c r="Y117" t="s">
        <v>21</v>
      </c>
      <c r="Z117">
        <v>85.9</v>
      </c>
    </row>
    <row r="118" spans="1:26" x14ac:dyDescent="0.2">
      <c r="A118">
        <v>117</v>
      </c>
      <c r="B118" s="1">
        <v>45917</v>
      </c>
      <c r="C118" t="s">
        <v>5</v>
      </c>
      <c r="E118">
        <v>81.5</v>
      </c>
      <c r="W118">
        <v>117</v>
      </c>
      <c r="X118" s="1">
        <v>45070</v>
      </c>
      <c r="Y118" t="s">
        <v>5</v>
      </c>
      <c r="Z118">
        <v>86</v>
      </c>
    </row>
    <row r="119" spans="1:26" x14ac:dyDescent="0.2">
      <c r="A119">
        <v>118</v>
      </c>
      <c r="B119" s="1">
        <v>45917</v>
      </c>
      <c r="C119" t="s">
        <v>5</v>
      </c>
      <c r="E119">
        <v>85</v>
      </c>
      <c r="W119">
        <v>118</v>
      </c>
      <c r="X119" s="1">
        <v>45931</v>
      </c>
      <c r="Y119" t="s">
        <v>5</v>
      </c>
      <c r="Z119">
        <v>86</v>
      </c>
    </row>
    <row r="120" spans="1:26" x14ac:dyDescent="0.2">
      <c r="A120">
        <v>119</v>
      </c>
      <c r="B120" s="1">
        <v>45931</v>
      </c>
      <c r="C120" t="s">
        <v>5</v>
      </c>
      <c r="E120">
        <v>82.8</v>
      </c>
      <c r="W120">
        <v>119</v>
      </c>
      <c r="X120" s="35">
        <v>46085</v>
      </c>
      <c r="Y120" t="s">
        <v>5</v>
      </c>
      <c r="Z120">
        <v>86</v>
      </c>
    </row>
    <row r="121" spans="1:26" x14ac:dyDescent="0.2">
      <c r="A121">
        <v>120</v>
      </c>
      <c r="B121" s="1">
        <v>45931</v>
      </c>
      <c r="C121" t="s">
        <v>5</v>
      </c>
      <c r="E121">
        <v>85</v>
      </c>
      <c r="W121">
        <v>120</v>
      </c>
      <c r="X121" s="1">
        <v>46194</v>
      </c>
      <c r="Y121" t="s">
        <v>21</v>
      </c>
      <c r="Z121">
        <v>86.1</v>
      </c>
    </row>
    <row r="122" spans="1:26" x14ac:dyDescent="0.2">
      <c r="A122">
        <v>121</v>
      </c>
      <c r="B122" s="1">
        <v>45931</v>
      </c>
      <c r="C122" t="s">
        <v>5</v>
      </c>
      <c r="E122">
        <v>81.3</v>
      </c>
      <c r="W122">
        <v>121</v>
      </c>
      <c r="X122" s="1">
        <v>45791</v>
      </c>
      <c r="Y122" t="s">
        <v>5</v>
      </c>
      <c r="Z122">
        <v>86.2</v>
      </c>
    </row>
    <row r="123" spans="1:26" x14ac:dyDescent="0.2">
      <c r="A123">
        <v>122</v>
      </c>
      <c r="B123" s="1">
        <v>45931</v>
      </c>
      <c r="C123" t="s">
        <v>5</v>
      </c>
      <c r="E123">
        <v>86</v>
      </c>
      <c r="W123">
        <v>122</v>
      </c>
      <c r="X123" s="1">
        <v>45917</v>
      </c>
      <c r="Y123" t="s">
        <v>5</v>
      </c>
      <c r="Z123">
        <v>86.2</v>
      </c>
    </row>
    <row r="124" spans="1:26" x14ac:dyDescent="0.2">
      <c r="A124">
        <v>123</v>
      </c>
      <c r="B124" s="1">
        <v>45945</v>
      </c>
      <c r="C124" t="s">
        <v>5</v>
      </c>
      <c r="E124">
        <v>67.3</v>
      </c>
      <c r="W124">
        <v>123</v>
      </c>
      <c r="X124" s="1">
        <v>46043</v>
      </c>
      <c r="Y124" t="s">
        <v>21</v>
      </c>
      <c r="Z124">
        <v>86.4</v>
      </c>
    </row>
    <row r="125" spans="1:26" x14ac:dyDescent="0.2">
      <c r="A125">
        <v>124</v>
      </c>
      <c r="B125" s="1">
        <v>45945</v>
      </c>
      <c r="C125" t="s">
        <v>5</v>
      </c>
      <c r="E125">
        <v>91.1</v>
      </c>
      <c r="W125">
        <v>124</v>
      </c>
      <c r="X125" s="1">
        <v>46113</v>
      </c>
      <c r="Y125" t="s">
        <v>5</v>
      </c>
      <c r="Z125">
        <v>86.5</v>
      </c>
    </row>
    <row r="126" spans="1:26" x14ac:dyDescent="0.2">
      <c r="A126">
        <v>125</v>
      </c>
      <c r="B126" s="1">
        <v>45945</v>
      </c>
      <c r="C126" t="s">
        <v>5</v>
      </c>
      <c r="E126">
        <v>90.1</v>
      </c>
      <c r="W126">
        <v>125</v>
      </c>
      <c r="X126" s="1">
        <v>46085</v>
      </c>
      <c r="Y126" t="s">
        <v>5</v>
      </c>
      <c r="Z126">
        <v>86.7</v>
      </c>
    </row>
    <row r="127" spans="1:26" x14ac:dyDescent="0.2">
      <c r="A127">
        <v>126</v>
      </c>
      <c r="B127" s="1">
        <v>45945</v>
      </c>
      <c r="C127" t="s">
        <v>5</v>
      </c>
      <c r="E127">
        <v>75.7</v>
      </c>
      <c r="W127">
        <v>126</v>
      </c>
      <c r="X127" s="1">
        <v>46043</v>
      </c>
      <c r="Y127" t="s">
        <v>21</v>
      </c>
      <c r="Z127">
        <v>87</v>
      </c>
    </row>
    <row r="128" spans="1:26" x14ac:dyDescent="0.2">
      <c r="A128">
        <v>127</v>
      </c>
      <c r="B128" s="1">
        <v>45959</v>
      </c>
      <c r="C128" t="s">
        <v>5</v>
      </c>
      <c r="E128">
        <v>88.8</v>
      </c>
      <c r="W128">
        <v>127</v>
      </c>
      <c r="X128" s="1">
        <v>45567</v>
      </c>
      <c r="Y128" t="s">
        <v>5</v>
      </c>
      <c r="Z128">
        <v>87.1</v>
      </c>
    </row>
    <row r="129" spans="1:26" x14ac:dyDescent="0.2">
      <c r="A129">
        <v>128</v>
      </c>
      <c r="B129" s="1">
        <v>45973</v>
      </c>
      <c r="C129" t="s">
        <v>5</v>
      </c>
      <c r="E129">
        <v>91.8</v>
      </c>
      <c r="W129">
        <v>128</v>
      </c>
      <c r="X129" s="1">
        <v>45917</v>
      </c>
      <c r="Y129" t="s">
        <v>5</v>
      </c>
      <c r="Z129">
        <v>87.1</v>
      </c>
    </row>
    <row r="130" spans="1:26" x14ac:dyDescent="0.2">
      <c r="A130">
        <v>129</v>
      </c>
      <c r="B130" s="1">
        <v>45973</v>
      </c>
      <c r="C130" t="s">
        <v>5</v>
      </c>
      <c r="E130">
        <v>83.3</v>
      </c>
      <c r="W130">
        <v>129</v>
      </c>
      <c r="X130" s="1">
        <v>45987</v>
      </c>
      <c r="Y130" t="s">
        <v>21</v>
      </c>
      <c r="Z130">
        <v>87.1</v>
      </c>
    </row>
    <row r="131" spans="1:26" x14ac:dyDescent="0.2">
      <c r="A131">
        <v>130</v>
      </c>
      <c r="B131" s="1">
        <v>45987</v>
      </c>
      <c r="C131" t="s">
        <v>21</v>
      </c>
      <c r="E131">
        <v>87.1</v>
      </c>
      <c r="W131">
        <v>130</v>
      </c>
      <c r="X131" s="1">
        <v>45917</v>
      </c>
      <c r="Y131" t="s">
        <v>5</v>
      </c>
      <c r="Z131">
        <v>87.3</v>
      </c>
    </row>
    <row r="132" spans="1:26" x14ac:dyDescent="0.2">
      <c r="A132">
        <v>131</v>
      </c>
      <c r="B132" s="1">
        <v>45987</v>
      </c>
      <c r="C132" t="s">
        <v>21</v>
      </c>
      <c r="E132">
        <v>84.3</v>
      </c>
      <c r="W132">
        <v>131</v>
      </c>
      <c r="X132" s="1">
        <v>45987</v>
      </c>
      <c r="Y132" t="s">
        <v>21</v>
      </c>
      <c r="Z132">
        <v>87.3</v>
      </c>
    </row>
    <row r="133" spans="1:26" x14ac:dyDescent="0.2">
      <c r="A133">
        <v>132</v>
      </c>
      <c r="B133" s="1">
        <v>45987</v>
      </c>
      <c r="C133" t="s">
        <v>21</v>
      </c>
      <c r="E133">
        <v>89.5</v>
      </c>
      <c r="W133">
        <v>132</v>
      </c>
      <c r="X133" s="1">
        <v>46113</v>
      </c>
      <c r="Y133" t="s">
        <v>5</v>
      </c>
      <c r="Z133">
        <v>87.8</v>
      </c>
    </row>
    <row r="134" spans="1:26" x14ac:dyDescent="0.2">
      <c r="A134">
        <v>133</v>
      </c>
      <c r="B134" s="1">
        <v>45987</v>
      </c>
      <c r="C134" t="s">
        <v>21</v>
      </c>
      <c r="E134">
        <v>87.3</v>
      </c>
      <c r="W134">
        <v>133</v>
      </c>
      <c r="X134" s="1">
        <v>46113</v>
      </c>
      <c r="Y134" t="s">
        <v>5</v>
      </c>
      <c r="Z134">
        <v>87.9</v>
      </c>
    </row>
    <row r="135" spans="1:26" x14ac:dyDescent="0.2">
      <c r="A135">
        <v>134</v>
      </c>
      <c r="B135" s="1">
        <v>46194</v>
      </c>
      <c r="C135" t="s">
        <v>21</v>
      </c>
      <c r="E135">
        <v>86.1</v>
      </c>
      <c r="W135">
        <v>134</v>
      </c>
      <c r="X135" s="1">
        <v>46113</v>
      </c>
      <c r="Y135" t="s">
        <v>5</v>
      </c>
      <c r="Z135">
        <v>87.9</v>
      </c>
    </row>
    <row r="136" spans="1:26" x14ac:dyDescent="0.2">
      <c r="A136">
        <v>135</v>
      </c>
      <c r="B136" s="1">
        <v>46194</v>
      </c>
      <c r="C136" t="s">
        <v>21</v>
      </c>
      <c r="E136">
        <v>85.8</v>
      </c>
      <c r="W136">
        <v>135</v>
      </c>
      <c r="X136" s="1">
        <v>45833</v>
      </c>
      <c r="Y136" t="s">
        <v>5</v>
      </c>
      <c r="Z136">
        <v>88</v>
      </c>
    </row>
    <row r="137" spans="1:26" x14ac:dyDescent="0.2">
      <c r="A137">
        <v>136</v>
      </c>
      <c r="B137" s="1">
        <v>46043</v>
      </c>
      <c r="C137" t="s">
        <v>21</v>
      </c>
      <c r="E137">
        <v>86.4</v>
      </c>
      <c r="W137">
        <v>136</v>
      </c>
      <c r="X137" s="1">
        <v>44916</v>
      </c>
      <c r="Y137" t="s">
        <v>5</v>
      </c>
      <c r="Z137">
        <v>88.1</v>
      </c>
    </row>
    <row r="138" spans="1:26" x14ac:dyDescent="0.2">
      <c r="A138">
        <v>137</v>
      </c>
      <c r="B138" s="1">
        <v>46043</v>
      </c>
      <c r="C138" t="s">
        <v>21</v>
      </c>
      <c r="E138">
        <v>94.3</v>
      </c>
      <c r="W138">
        <v>137</v>
      </c>
      <c r="X138" s="1">
        <v>46057</v>
      </c>
      <c r="Y138" t="s">
        <v>21</v>
      </c>
      <c r="Z138">
        <v>88.1</v>
      </c>
    </row>
    <row r="139" spans="1:26" x14ac:dyDescent="0.2">
      <c r="A139">
        <v>138</v>
      </c>
      <c r="B139" s="1">
        <v>46043</v>
      </c>
      <c r="C139" t="s">
        <v>21</v>
      </c>
      <c r="E139">
        <v>87</v>
      </c>
      <c r="W139">
        <v>138</v>
      </c>
      <c r="X139" s="1">
        <v>46113</v>
      </c>
      <c r="Y139" t="s">
        <v>5</v>
      </c>
      <c r="Z139">
        <v>88.2</v>
      </c>
    </row>
    <row r="140" spans="1:26" x14ac:dyDescent="0.2">
      <c r="A140">
        <v>139</v>
      </c>
      <c r="B140" s="1">
        <v>46057</v>
      </c>
      <c r="C140" t="s">
        <v>21</v>
      </c>
      <c r="E140">
        <v>88.3</v>
      </c>
      <c r="W140">
        <v>139</v>
      </c>
      <c r="X140" s="1">
        <v>46057</v>
      </c>
      <c r="Y140" t="s">
        <v>21</v>
      </c>
      <c r="Z140">
        <v>88.3</v>
      </c>
    </row>
    <row r="141" spans="1:26" x14ac:dyDescent="0.2">
      <c r="A141">
        <v>140</v>
      </c>
      <c r="B141" s="1">
        <v>46057</v>
      </c>
      <c r="C141" t="s">
        <v>21</v>
      </c>
      <c r="E141">
        <v>88.5</v>
      </c>
      <c r="W141">
        <v>140</v>
      </c>
      <c r="X141" s="1">
        <v>46057</v>
      </c>
      <c r="Y141" t="s">
        <v>21</v>
      </c>
      <c r="Z141">
        <v>88.5</v>
      </c>
    </row>
    <row r="142" spans="1:26" x14ac:dyDescent="0.2">
      <c r="A142">
        <v>141</v>
      </c>
      <c r="B142" s="1">
        <v>46057</v>
      </c>
      <c r="C142" t="s">
        <v>21</v>
      </c>
      <c r="E142">
        <v>88.1</v>
      </c>
      <c r="W142">
        <v>141</v>
      </c>
      <c r="X142" s="1">
        <v>46099</v>
      </c>
      <c r="Y142" t="s">
        <v>5</v>
      </c>
      <c r="Z142">
        <v>88.7</v>
      </c>
    </row>
    <row r="143" spans="1:26" x14ac:dyDescent="0.2">
      <c r="A143">
        <v>142</v>
      </c>
      <c r="B143" s="1">
        <v>46085</v>
      </c>
      <c r="C143" t="s">
        <v>5</v>
      </c>
      <c r="E143">
        <v>93.3</v>
      </c>
      <c r="W143">
        <v>142</v>
      </c>
      <c r="X143" s="35">
        <v>45959</v>
      </c>
      <c r="Y143" s="36" t="s">
        <v>5</v>
      </c>
      <c r="Z143" s="36">
        <v>88.8</v>
      </c>
    </row>
    <row r="144" spans="1:26" x14ac:dyDescent="0.2">
      <c r="A144">
        <v>143</v>
      </c>
      <c r="B144" s="1">
        <v>46085</v>
      </c>
      <c r="C144" t="s">
        <v>5</v>
      </c>
      <c r="E144">
        <v>91.7</v>
      </c>
      <c r="W144">
        <v>143</v>
      </c>
      <c r="X144" s="35">
        <v>45903</v>
      </c>
      <c r="Y144" s="36" t="s">
        <v>5</v>
      </c>
      <c r="Z144" s="36">
        <v>88.9</v>
      </c>
    </row>
    <row r="145" spans="1:26" x14ac:dyDescent="0.2">
      <c r="A145">
        <v>144</v>
      </c>
      <c r="B145" s="1">
        <v>46085</v>
      </c>
      <c r="C145" t="s">
        <v>5</v>
      </c>
      <c r="E145">
        <v>86.7</v>
      </c>
      <c r="W145">
        <v>144</v>
      </c>
      <c r="X145" s="1">
        <v>45987</v>
      </c>
      <c r="Y145" t="s">
        <v>21</v>
      </c>
      <c r="Z145">
        <v>89.5</v>
      </c>
    </row>
    <row r="146" spans="1:26" x14ac:dyDescent="0.2">
      <c r="A146">
        <v>145</v>
      </c>
      <c r="B146" s="35">
        <v>46085</v>
      </c>
      <c r="C146" t="s">
        <v>5</v>
      </c>
      <c r="E146">
        <v>85.5</v>
      </c>
      <c r="W146">
        <v>145</v>
      </c>
      <c r="X146" s="1">
        <v>45833</v>
      </c>
      <c r="Y146" t="s">
        <v>5</v>
      </c>
      <c r="Z146">
        <v>89.7</v>
      </c>
    </row>
    <row r="147" spans="1:26" x14ac:dyDescent="0.2">
      <c r="A147">
        <v>146</v>
      </c>
      <c r="B147" s="35">
        <v>46085</v>
      </c>
      <c r="C147" t="s">
        <v>5</v>
      </c>
      <c r="E147">
        <v>86</v>
      </c>
      <c r="W147">
        <v>146</v>
      </c>
      <c r="X147" s="1">
        <v>45945</v>
      </c>
      <c r="Y147" t="s">
        <v>5</v>
      </c>
      <c r="Z147">
        <v>90.1</v>
      </c>
    </row>
    <row r="148" spans="1:26" x14ac:dyDescent="0.2">
      <c r="A148">
        <v>147</v>
      </c>
      <c r="B148" s="1">
        <v>46099</v>
      </c>
      <c r="C148" t="s">
        <v>5</v>
      </c>
      <c r="E148">
        <v>88.7</v>
      </c>
      <c r="W148">
        <v>147</v>
      </c>
      <c r="X148" s="1">
        <v>45917</v>
      </c>
      <c r="Y148" t="s">
        <v>5</v>
      </c>
      <c r="Z148">
        <v>90.7</v>
      </c>
    </row>
    <row r="149" spans="1:26" x14ac:dyDescent="0.2">
      <c r="A149">
        <v>148</v>
      </c>
      <c r="B149" s="1">
        <v>46099</v>
      </c>
      <c r="C149" t="s">
        <v>5</v>
      </c>
      <c r="E149">
        <v>85.5</v>
      </c>
      <c r="W149">
        <v>148</v>
      </c>
      <c r="X149" s="1">
        <v>45945</v>
      </c>
      <c r="Y149" t="s">
        <v>5</v>
      </c>
      <c r="Z149">
        <v>91.1</v>
      </c>
    </row>
    <row r="150" spans="1:26" x14ac:dyDescent="0.2">
      <c r="A150">
        <v>149</v>
      </c>
      <c r="B150" s="1">
        <v>46113</v>
      </c>
      <c r="C150" t="s">
        <v>5</v>
      </c>
      <c r="E150">
        <v>87.8</v>
      </c>
      <c r="W150">
        <v>149</v>
      </c>
      <c r="X150" s="1">
        <v>46085</v>
      </c>
      <c r="Y150" t="s">
        <v>5</v>
      </c>
      <c r="Z150">
        <v>91.7</v>
      </c>
    </row>
    <row r="151" spans="1:26" x14ac:dyDescent="0.2">
      <c r="A151">
        <v>150</v>
      </c>
      <c r="B151" s="1">
        <v>46113</v>
      </c>
      <c r="C151" t="s">
        <v>5</v>
      </c>
      <c r="E151">
        <v>87.9</v>
      </c>
      <c r="W151">
        <v>150</v>
      </c>
      <c r="X151" s="1">
        <v>45973</v>
      </c>
      <c r="Y151" t="s">
        <v>5</v>
      </c>
      <c r="Z151">
        <v>91.8</v>
      </c>
    </row>
    <row r="152" spans="1:26" x14ac:dyDescent="0.2">
      <c r="A152">
        <v>151</v>
      </c>
      <c r="B152" s="1">
        <v>46113</v>
      </c>
      <c r="C152" t="s">
        <v>5</v>
      </c>
      <c r="E152">
        <v>66.8</v>
      </c>
      <c r="W152">
        <v>151</v>
      </c>
      <c r="X152" s="1">
        <v>46113</v>
      </c>
      <c r="Y152" t="s">
        <v>5</v>
      </c>
      <c r="Z152">
        <v>91.9</v>
      </c>
    </row>
    <row r="153" spans="1:26" x14ac:dyDescent="0.2">
      <c r="A153">
        <v>152</v>
      </c>
      <c r="B153" s="1">
        <v>46113</v>
      </c>
      <c r="C153" t="s">
        <v>5</v>
      </c>
      <c r="E153">
        <v>53</v>
      </c>
      <c r="W153">
        <v>152</v>
      </c>
      <c r="X153" s="1">
        <v>45777</v>
      </c>
      <c r="Y153" t="s">
        <v>5</v>
      </c>
      <c r="Z153">
        <v>92.9</v>
      </c>
    </row>
    <row r="154" spans="1:26" x14ac:dyDescent="0.2">
      <c r="A154">
        <v>153</v>
      </c>
      <c r="B154" s="1">
        <v>46113</v>
      </c>
      <c r="C154" t="s">
        <v>5</v>
      </c>
      <c r="E154">
        <v>88.2</v>
      </c>
      <c r="W154">
        <v>153</v>
      </c>
      <c r="X154" s="1">
        <v>45903</v>
      </c>
      <c r="Y154" t="s">
        <v>5</v>
      </c>
      <c r="Z154">
        <v>93.1</v>
      </c>
    </row>
    <row r="155" spans="1:26" x14ac:dyDescent="0.2">
      <c r="A155">
        <v>154</v>
      </c>
      <c r="B155" s="1">
        <v>46113</v>
      </c>
      <c r="C155" t="s">
        <v>5</v>
      </c>
      <c r="E155">
        <v>91.9</v>
      </c>
      <c r="W155">
        <v>154</v>
      </c>
      <c r="X155" s="1">
        <v>46085</v>
      </c>
      <c r="Y155" t="s">
        <v>5</v>
      </c>
      <c r="Z155">
        <v>93.3</v>
      </c>
    </row>
    <row r="156" spans="1:26" x14ac:dyDescent="0.2">
      <c r="A156">
        <v>155</v>
      </c>
      <c r="B156" s="1">
        <v>46113</v>
      </c>
      <c r="C156" t="s">
        <v>5</v>
      </c>
      <c r="E156">
        <v>87.9</v>
      </c>
      <c r="W156">
        <v>155</v>
      </c>
      <c r="X156" s="1">
        <v>45623</v>
      </c>
      <c r="Y156" t="s">
        <v>5</v>
      </c>
      <c r="Z156">
        <v>93.6</v>
      </c>
    </row>
    <row r="157" spans="1:26" x14ac:dyDescent="0.2">
      <c r="A157">
        <v>156</v>
      </c>
      <c r="B157" s="1">
        <v>46113</v>
      </c>
      <c r="C157" t="s">
        <v>5</v>
      </c>
      <c r="E157">
        <v>86.5</v>
      </c>
      <c r="W157">
        <v>156</v>
      </c>
      <c r="X157" s="1">
        <v>46043</v>
      </c>
      <c r="Y157" t="s">
        <v>21</v>
      </c>
      <c r="Z157">
        <v>94.3</v>
      </c>
    </row>
  </sheetData>
  <autoFilter ref="X1:Z128" xr:uid="{3C7D0C55-F7DA-FC40-AB1B-C9B296297ED5}">
    <sortState xmlns:xlrd2="http://schemas.microsoft.com/office/spreadsheetml/2017/richdata2" ref="X2:Z128">
      <sortCondition ref="Z2:Z128"/>
    </sortState>
  </autoFilter>
  <sortState xmlns:xlrd2="http://schemas.microsoft.com/office/spreadsheetml/2017/richdata2" ref="X2:Z157">
    <sortCondition ref="Z2:Z157"/>
  </sortState>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8A32B-385C-0E4A-A195-82C0E9599C91}">
  <sheetPr codeName="Feuil4"/>
  <dimension ref="A1:AA116"/>
  <sheetViews>
    <sheetView topLeftCell="P1" zoomScale="110" zoomScaleNormal="390" workbookViewId="0">
      <selection activeCell="U1" sqref="A1:XFD1048576"/>
    </sheetView>
  </sheetViews>
  <sheetFormatPr baseColWidth="10" defaultRowHeight="16" x14ac:dyDescent="0.2"/>
  <cols>
    <col min="4" max="4" width="20.83203125" bestFit="1" customWidth="1"/>
    <col min="7" max="7" width="19.1640625" bestFit="1" customWidth="1"/>
  </cols>
  <sheetData>
    <row r="1" spans="1:27" x14ac:dyDescent="0.2">
      <c r="A1" t="s">
        <v>0</v>
      </c>
      <c r="B1" t="s">
        <v>4</v>
      </c>
      <c r="C1" t="s">
        <v>1</v>
      </c>
      <c r="D1" t="s">
        <v>2</v>
      </c>
      <c r="E1" t="s">
        <v>3</v>
      </c>
      <c r="T1" t="s">
        <v>4</v>
      </c>
      <c r="U1" t="s">
        <v>1</v>
      </c>
      <c r="V1" t="s">
        <v>3</v>
      </c>
    </row>
    <row r="2" spans="1:27" x14ac:dyDescent="0.2">
      <c r="A2">
        <v>1</v>
      </c>
      <c r="B2" s="1">
        <v>44872</v>
      </c>
      <c r="C2" t="s">
        <v>6</v>
      </c>
      <c r="D2">
        <v>15.2</v>
      </c>
      <c r="E2">
        <v>13.8</v>
      </c>
      <c r="S2">
        <v>1</v>
      </c>
      <c r="T2" s="1">
        <v>45693</v>
      </c>
      <c r="U2" t="s">
        <v>155</v>
      </c>
      <c r="V2" s="40">
        <v>0.29580000000000001</v>
      </c>
      <c r="X2" t="s">
        <v>126</v>
      </c>
      <c r="Y2" t="s">
        <v>127</v>
      </c>
      <c r="Z2" t="s">
        <v>128</v>
      </c>
      <c r="AA2" t="s">
        <v>45</v>
      </c>
    </row>
    <row r="3" spans="1:27" x14ac:dyDescent="0.2">
      <c r="A3">
        <v>2</v>
      </c>
      <c r="B3" s="1">
        <v>44909</v>
      </c>
      <c r="C3" t="s">
        <v>6</v>
      </c>
      <c r="D3">
        <v>21.8</v>
      </c>
      <c r="E3">
        <v>19.8</v>
      </c>
      <c r="S3">
        <v>2</v>
      </c>
      <c r="T3" s="1">
        <v>45693</v>
      </c>
      <c r="U3" t="s">
        <v>155</v>
      </c>
      <c r="V3" s="40">
        <v>0.30449999999999999</v>
      </c>
      <c r="X3" t="s">
        <v>137</v>
      </c>
      <c r="Y3">
        <v>10</v>
      </c>
      <c r="Z3" cm="1">
        <f t="array" ref="Z3:Z11">FREQUENCY(V2:V120,Y3:Y10)</f>
        <v>32</v>
      </c>
      <c r="AA3" s="19">
        <f>(Z3/Z$12)*100</f>
        <v>28.571428571428569</v>
      </c>
    </row>
    <row r="4" spans="1:27" x14ac:dyDescent="0.2">
      <c r="A4">
        <v>3</v>
      </c>
      <c r="B4" s="1">
        <v>44916</v>
      </c>
      <c r="C4" t="s">
        <v>6</v>
      </c>
      <c r="D4">
        <v>24</v>
      </c>
      <c r="E4">
        <v>21.8</v>
      </c>
      <c r="S4">
        <v>3</v>
      </c>
      <c r="T4" s="1">
        <v>45693</v>
      </c>
      <c r="U4" t="s">
        <v>155</v>
      </c>
      <c r="V4" s="40">
        <v>0.30449999999999999</v>
      </c>
      <c r="X4" s="31" t="s">
        <v>138</v>
      </c>
      <c r="Y4">
        <v>20</v>
      </c>
      <c r="Z4">
        <v>76</v>
      </c>
      <c r="AA4" s="19">
        <f t="shared" ref="AA4:AA10" si="0">(Z4/Z$12)*100</f>
        <v>67.857142857142861</v>
      </c>
    </row>
    <row r="5" spans="1:27" x14ac:dyDescent="0.2">
      <c r="A5">
        <v>4</v>
      </c>
      <c r="B5" s="1">
        <v>44916</v>
      </c>
      <c r="C5" t="s">
        <v>6</v>
      </c>
      <c r="D5">
        <v>23.1</v>
      </c>
      <c r="E5">
        <v>21</v>
      </c>
      <c r="S5">
        <v>4</v>
      </c>
      <c r="T5" s="1">
        <v>45987</v>
      </c>
      <c r="U5" s="18" t="s">
        <v>6</v>
      </c>
      <c r="V5" s="18">
        <v>2.4</v>
      </c>
      <c r="X5" t="s">
        <v>139</v>
      </c>
      <c r="Y5">
        <v>30</v>
      </c>
      <c r="Z5">
        <v>3</v>
      </c>
      <c r="AA5" s="19">
        <f t="shared" si="0"/>
        <v>2.6785714285714284</v>
      </c>
    </row>
    <row r="6" spans="1:27" x14ac:dyDescent="0.2">
      <c r="A6">
        <v>5</v>
      </c>
      <c r="B6" s="1">
        <v>44937</v>
      </c>
      <c r="C6" t="s">
        <v>6</v>
      </c>
      <c r="D6">
        <v>13.2</v>
      </c>
      <c r="E6">
        <v>12</v>
      </c>
      <c r="S6">
        <v>5</v>
      </c>
      <c r="T6" s="1">
        <v>45931</v>
      </c>
      <c r="U6" t="s">
        <v>6</v>
      </c>
      <c r="V6">
        <v>3.7</v>
      </c>
      <c r="X6" t="s">
        <v>130</v>
      </c>
      <c r="Y6">
        <v>40</v>
      </c>
      <c r="Z6">
        <v>0</v>
      </c>
      <c r="AA6" s="19">
        <f t="shared" si="0"/>
        <v>0</v>
      </c>
    </row>
    <row r="7" spans="1:27" x14ac:dyDescent="0.2">
      <c r="A7">
        <v>6</v>
      </c>
      <c r="B7" s="1">
        <v>44937</v>
      </c>
      <c r="C7" t="s">
        <v>6</v>
      </c>
      <c r="D7">
        <v>13.1</v>
      </c>
      <c r="E7">
        <v>11.9</v>
      </c>
      <c r="S7">
        <v>6</v>
      </c>
      <c r="T7" s="1">
        <v>45945</v>
      </c>
      <c r="U7" s="18" t="s">
        <v>6</v>
      </c>
      <c r="V7" s="18">
        <v>3.7</v>
      </c>
      <c r="X7" t="s">
        <v>131</v>
      </c>
      <c r="Y7">
        <v>50</v>
      </c>
      <c r="Z7">
        <v>1</v>
      </c>
      <c r="AA7" s="19">
        <f t="shared" si="0"/>
        <v>0.89285714285714279</v>
      </c>
    </row>
    <row r="8" spans="1:27" x14ac:dyDescent="0.2">
      <c r="A8">
        <v>7</v>
      </c>
      <c r="B8" s="1">
        <v>44944</v>
      </c>
      <c r="C8" t="s">
        <v>6</v>
      </c>
      <c r="D8">
        <v>14.2</v>
      </c>
      <c r="E8">
        <v>12.9</v>
      </c>
      <c r="S8">
        <v>7</v>
      </c>
      <c r="T8" s="1">
        <v>45693</v>
      </c>
      <c r="U8" t="s">
        <v>6</v>
      </c>
      <c r="V8" s="40">
        <v>4.524</v>
      </c>
      <c r="X8" t="s">
        <v>132</v>
      </c>
      <c r="Y8">
        <v>60</v>
      </c>
      <c r="Z8">
        <v>0</v>
      </c>
      <c r="AA8" s="19">
        <f t="shared" si="0"/>
        <v>0</v>
      </c>
    </row>
    <row r="9" spans="1:27" x14ac:dyDescent="0.2">
      <c r="A9">
        <v>8</v>
      </c>
      <c r="B9" s="1">
        <v>44944</v>
      </c>
      <c r="C9" t="s">
        <v>6</v>
      </c>
      <c r="D9">
        <v>20.3</v>
      </c>
      <c r="E9">
        <v>18.5</v>
      </c>
      <c r="S9">
        <v>8</v>
      </c>
      <c r="T9" s="1">
        <v>45693</v>
      </c>
      <c r="U9" t="s">
        <v>6</v>
      </c>
      <c r="V9" s="40">
        <v>4.7850000000000001</v>
      </c>
      <c r="X9" t="s">
        <v>140</v>
      </c>
      <c r="Y9">
        <v>100</v>
      </c>
      <c r="Z9">
        <v>0</v>
      </c>
      <c r="AA9" s="19">
        <f t="shared" si="0"/>
        <v>0</v>
      </c>
    </row>
    <row r="10" spans="1:27" x14ac:dyDescent="0.2">
      <c r="A10">
        <v>9</v>
      </c>
      <c r="B10" s="1">
        <v>44944</v>
      </c>
      <c r="C10" t="s">
        <v>6</v>
      </c>
      <c r="D10">
        <v>18.2</v>
      </c>
      <c r="E10">
        <v>16.600000000000001</v>
      </c>
      <c r="S10">
        <v>9</v>
      </c>
      <c r="T10" s="1">
        <v>45693</v>
      </c>
      <c r="U10" t="s">
        <v>155</v>
      </c>
      <c r="V10" s="40">
        <v>4.8719999999999999</v>
      </c>
      <c r="X10" t="s">
        <v>141</v>
      </c>
      <c r="Y10">
        <v>1000</v>
      </c>
      <c r="Z10">
        <v>0</v>
      </c>
      <c r="AA10" s="19">
        <f t="shared" si="0"/>
        <v>0</v>
      </c>
    </row>
    <row r="11" spans="1:27" x14ac:dyDescent="0.2">
      <c r="A11">
        <v>10</v>
      </c>
      <c r="B11" s="1">
        <v>44958</v>
      </c>
      <c r="C11" t="s">
        <v>6</v>
      </c>
      <c r="D11">
        <v>23.8</v>
      </c>
      <c r="E11">
        <v>21.7</v>
      </c>
      <c r="S11">
        <v>10</v>
      </c>
      <c r="T11" s="1">
        <v>45693</v>
      </c>
      <c r="U11" t="s">
        <v>6</v>
      </c>
      <c r="V11" s="40">
        <v>5.3069999999999995</v>
      </c>
      <c r="Z11">
        <v>0</v>
      </c>
    </row>
    <row r="12" spans="1:27" x14ac:dyDescent="0.2">
      <c r="A12">
        <v>11</v>
      </c>
      <c r="B12" s="1">
        <v>44958</v>
      </c>
      <c r="C12" t="s">
        <v>6</v>
      </c>
      <c r="D12">
        <v>19</v>
      </c>
      <c r="E12">
        <v>17.3</v>
      </c>
      <c r="S12">
        <v>11</v>
      </c>
      <c r="T12" s="1">
        <v>45623</v>
      </c>
      <c r="U12" t="s">
        <v>155</v>
      </c>
      <c r="V12" s="18">
        <v>5.4</v>
      </c>
      <c r="Z12">
        <f>SUM(Z3:Z10)</f>
        <v>112</v>
      </c>
      <c r="AA12" s="19">
        <f>SUM(AA3:AA10)</f>
        <v>100</v>
      </c>
    </row>
    <row r="13" spans="1:27" x14ac:dyDescent="0.2">
      <c r="A13">
        <v>12</v>
      </c>
      <c r="B13" s="1">
        <v>44958</v>
      </c>
      <c r="C13" t="s">
        <v>6</v>
      </c>
      <c r="D13">
        <v>20.8</v>
      </c>
      <c r="E13">
        <v>18.899999999999999</v>
      </c>
      <c r="S13">
        <v>12</v>
      </c>
      <c r="T13" s="1">
        <v>45847</v>
      </c>
      <c r="U13" t="s">
        <v>6</v>
      </c>
      <c r="V13">
        <v>5.5</v>
      </c>
    </row>
    <row r="14" spans="1:27" x14ac:dyDescent="0.2">
      <c r="A14">
        <v>13</v>
      </c>
      <c r="B14" s="1">
        <v>45042</v>
      </c>
      <c r="C14" t="s">
        <v>6</v>
      </c>
      <c r="D14">
        <v>18.3</v>
      </c>
      <c r="E14">
        <v>16.7</v>
      </c>
      <c r="S14">
        <v>13</v>
      </c>
      <c r="T14" s="1">
        <v>45665</v>
      </c>
      <c r="U14" t="s">
        <v>6</v>
      </c>
      <c r="V14">
        <v>5.6</v>
      </c>
    </row>
    <row r="15" spans="1:27" x14ac:dyDescent="0.2">
      <c r="A15">
        <v>14</v>
      </c>
      <c r="B15" s="1">
        <v>45042</v>
      </c>
      <c r="C15" t="s">
        <v>6</v>
      </c>
      <c r="D15">
        <v>15.9</v>
      </c>
      <c r="E15">
        <v>14.3</v>
      </c>
      <c r="S15">
        <v>14</v>
      </c>
      <c r="T15" s="1">
        <v>45665</v>
      </c>
      <c r="U15" t="s">
        <v>6</v>
      </c>
      <c r="V15">
        <v>6.8</v>
      </c>
    </row>
    <row r="16" spans="1:27" x14ac:dyDescent="0.2">
      <c r="A16">
        <v>15</v>
      </c>
      <c r="B16" s="1">
        <v>45210</v>
      </c>
      <c r="C16" t="s">
        <v>6</v>
      </c>
      <c r="D16">
        <v>19</v>
      </c>
      <c r="E16">
        <v>17.3</v>
      </c>
      <c r="G16" t="s">
        <v>11</v>
      </c>
      <c r="H16" s="20">
        <f>AVERAGE(E2:E150)</f>
        <v>12.214221428571426</v>
      </c>
      <c r="S16">
        <v>15</v>
      </c>
      <c r="T16" s="1">
        <v>45567</v>
      </c>
      <c r="U16" t="s">
        <v>6</v>
      </c>
      <c r="V16">
        <v>6.9</v>
      </c>
    </row>
    <row r="17" spans="1:22" x14ac:dyDescent="0.2">
      <c r="A17">
        <v>16</v>
      </c>
      <c r="B17" s="1">
        <v>45210</v>
      </c>
      <c r="C17" t="s">
        <v>6</v>
      </c>
      <c r="D17">
        <v>22</v>
      </c>
      <c r="E17">
        <v>20</v>
      </c>
      <c r="G17" t="s">
        <v>9</v>
      </c>
      <c r="H17">
        <f>MAX(E2:E150)</f>
        <v>41.2</v>
      </c>
      <c r="S17">
        <v>16</v>
      </c>
      <c r="T17" s="1">
        <v>45665</v>
      </c>
      <c r="U17" t="s">
        <v>6</v>
      </c>
      <c r="V17">
        <v>6.9</v>
      </c>
    </row>
    <row r="18" spans="1:22" x14ac:dyDescent="0.2">
      <c r="A18">
        <v>17</v>
      </c>
      <c r="B18" s="1">
        <v>45392</v>
      </c>
      <c r="C18" t="s">
        <v>6</v>
      </c>
      <c r="D18">
        <v>16.2</v>
      </c>
      <c r="E18">
        <v>14.7</v>
      </c>
      <c r="G18" t="s">
        <v>10</v>
      </c>
      <c r="H18" s="20">
        <f>MIN(E2:E150)</f>
        <v>0.29580000000000001</v>
      </c>
      <c r="S18">
        <v>17</v>
      </c>
      <c r="T18" s="1">
        <v>45637</v>
      </c>
      <c r="U18" t="s">
        <v>6</v>
      </c>
      <c r="V18">
        <v>7.1</v>
      </c>
    </row>
    <row r="19" spans="1:22" x14ac:dyDescent="0.2">
      <c r="A19">
        <v>18</v>
      </c>
      <c r="B19" s="1">
        <v>45392</v>
      </c>
      <c r="C19" t="s">
        <v>6</v>
      </c>
      <c r="D19">
        <v>16</v>
      </c>
      <c r="E19">
        <v>14.6</v>
      </c>
      <c r="S19">
        <v>18</v>
      </c>
      <c r="T19" s="1">
        <v>45665</v>
      </c>
      <c r="U19" t="s">
        <v>6</v>
      </c>
      <c r="V19">
        <v>7.3</v>
      </c>
    </row>
    <row r="20" spans="1:22" x14ac:dyDescent="0.2">
      <c r="A20">
        <v>19</v>
      </c>
      <c r="B20" s="1">
        <v>45392</v>
      </c>
      <c r="C20" t="s">
        <v>6</v>
      </c>
      <c r="D20">
        <v>15.9</v>
      </c>
      <c r="E20">
        <v>14.5</v>
      </c>
      <c r="S20">
        <v>19</v>
      </c>
      <c r="T20" s="1">
        <v>45665</v>
      </c>
      <c r="U20" t="s">
        <v>6</v>
      </c>
      <c r="V20">
        <v>7.5</v>
      </c>
    </row>
    <row r="21" spans="1:22" x14ac:dyDescent="0.2">
      <c r="A21">
        <v>20</v>
      </c>
      <c r="B21" s="1">
        <v>45392</v>
      </c>
      <c r="C21" t="s">
        <v>6</v>
      </c>
      <c r="D21">
        <v>17.399999999999999</v>
      </c>
      <c r="E21">
        <v>15.8</v>
      </c>
      <c r="H21" t="s">
        <v>6</v>
      </c>
      <c r="S21">
        <v>20</v>
      </c>
      <c r="T21" s="1">
        <v>45665</v>
      </c>
      <c r="U21" t="s">
        <v>6</v>
      </c>
      <c r="V21">
        <v>7.6</v>
      </c>
    </row>
    <row r="22" spans="1:22" x14ac:dyDescent="0.2">
      <c r="A22">
        <v>21</v>
      </c>
      <c r="B22" s="1">
        <v>45462</v>
      </c>
      <c r="C22" t="s">
        <v>6</v>
      </c>
      <c r="D22">
        <v>16.600000000000001</v>
      </c>
      <c r="E22">
        <v>15.1</v>
      </c>
      <c r="G22" t="s">
        <v>27</v>
      </c>
      <c r="H22">
        <f>H18</f>
        <v>0.29580000000000001</v>
      </c>
      <c r="S22">
        <v>21</v>
      </c>
      <c r="T22" s="1">
        <v>45987</v>
      </c>
      <c r="U22" t="s">
        <v>6</v>
      </c>
      <c r="V22">
        <v>8.1</v>
      </c>
    </row>
    <row r="23" spans="1:22" x14ac:dyDescent="0.2">
      <c r="A23">
        <v>22</v>
      </c>
      <c r="B23" s="1">
        <v>45483</v>
      </c>
      <c r="C23" t="s">
        <v>6</v>
      </c>
      <c r="D23">
        <v>9.3000000000000007</v>
      </c>
      <c r="E23">
        <v>8.5</v>
      </c>
      <c r="G23" t="s">
        <v>28</v>
      </c>
      <c r="H23">
        <f>_xlfn.QUARTILE.INC(E2:E150,1)</f>
        <v>9.3249999999999993</v>
      </c>
      <c r="S23">
        <v>22</v>
      </c>
      <c r="T23" s="1">
        <v>45623</v>
      </c>
      <c r="U23" t="s">
        <v>155</v>
      </c>
      <c r="V23" s="18">
        <v>8.1999999999999993</v>
      </c>
    </row>
    <row r="24" spans="1:22" x14ac:dyDescent="0.2">
      <c r="A24">
        <v>23</v>
      </c>
      <c r="B24" s="1">
        <v>45483</v>
      </c>
      <c r="C24" t="s">
        <v>6</v>
      </c>
      <c r="D24">
        <v>12.6</v>
      </c>
      <c r="E24">
        <v>11.5</v>
      </c>
      <c r="G24" t="s">
        <v>29</v>
      </c>
      <c r="H24">
        <f>_xlfn.QUARTILE.INC(E2:E150,2)</f>
        <v>12.4</v>
      </c>
      <c r="S24">
        <v>23</v>
      </c>
      <c r="T24" s="1">
        <v>45518</v>
      </c>
      <c r="U24" t="s">
        <v>6</v>
      </c>
      <c r="V24">
        <v>8.3000000000000007</v>
      </c>
    </row>
    <row r="25" spans="1:22" x14ac:dyDescent="0.2">
      <c r="A25">
        <v>24</v>
      </c>
      <c r="B25" s="1">
        <v>45518</v>
      </c>
      <c r="C25" t="s">
        <v>6</v>
      </c>
      <c r="D25">
        <v>17.399999999999999</v>
      </c>
      <c r="E25">
        <v>15.8</v>
      </c>
      <c r="G25" t="s">
        <v>30</v>
      </c>
      <c r="H25">
        <f>_xlfn.QUARTILE.INC(E2:E150,3)</f>
        <v>14.799999999999999</v>
      </c>
      <c r="S25">
        <v>24</v>
      </c>
      <c r="T25" s="1">
        <v>45483</v>
      </c>
      <c r="U25" t="s">
        <v>6</v>
      </c>
      <c r="V25">
        <v>8.5</v>
      </c>
    </row>
    <row r="26" spans="1:22" x14ac:dyDescent="0.2">
      <c r="A26">
        <v>25</v>
      </c>
      <c r="B26" s="1">
        <v>45518</v>
      </c>
      <c r="C26" t="s">
        <v>6</v>
      </c>
      <c r="D26">
        <v>9.1</v>
      </c>
      <c r="E26">
        <v>8.3000000000000007</v>
      </c>
      <c r="G26" t="s">
        <v>9</v>
      </c>
      <c r="H26">
        <f>H17</f>
        <v>41.2</v>
      </c>
      <c r="S26">
        <v>25</v>
      </c>
      <c r="T26" s="1">
        <v>45945</v>
      </c>
      <c r="U26" t="s">
        <v>6</v>
      </c>
      <c r="V26">
        <v>8.5</v>
      </c>
    </row>
    <row r="27" spans="1:22" x14ac:dyDescent="0.2">
      <c r="A27">
        <v>26</v>
      </c>
      <c r="B27" s="1">
        <v>45567</v>
      </c>
      <c r="C27" t="s">
        <v>155</v>
      </c>
      <c r="E27" s="18">
        <v>18.600000000000001</v>
      </c>
      <c r="S27">
        <v>26</v>
      </c>
      <c r="T27" s="1">
        <v>45973</v>
      </c>
      <c r="U27" t="s">
        <v>6</v>
      </c>
      <c r="V27">
        <v>8.9</v>
      </c>
    </row>
    <row r="28" spans="1:22" x14ac:dyDescent="0.2">
      <c r="A28">
        <v>27</v>
      </c>
      <c r="B28" s="1">
        <v>45567</v>
      </c>
      <c r="C28" t="s">
        <v>6</v>
      </c>
      <c r="D28">
        <v>7.6</v>
      </c>
      <c r="E28">
        <v>6.9</v>
      </c>
      <c r="H28" t="s">
        <v>96</v>
      </c>
      <c r="S28">
        <v>27</v>
      </c>
      <c r="T28" s="1">
        <v>46043</v>
      </c>
      <c r="U28" t="s">
        <v>6</v>
      </c>
      <c r="V28" s="20">
        <v>8.9</v>
      </c>
    </row>
    <row r="29" spans="1:22" x14ac:dyDescent="0.2">
      <c r="A29">
        <v>28</v>
      </c>
      <c r="B29" s="1">
        <v>45567</v>
      </c>
      <c r="C29" t="s">
        <v>6</v>
      </c>
      <c r="D29">
        <v>12.2</v>
      </c>
      <c r="E29">
        <v>11.1</v>
      </c>
      <c r="G29" t="s">
        <v>10</v>
      </c>
      <c r="H29">
        <f>H22</f>
        <v>0.29580000000000001</v>
      </c>
      <c r="S29">
        <v>28</v>
      </c>
      <c r="T29" s="1">
        <v>45735</v>
      </c>
      <c r="U29" t="s">
        <v>6</v>
      </c>
      <c r="V29">
        <v>9.1</v>
      </c>
    </row>
    <row r="30" spans="1:22" x14ac:dyDescent="0.2">
      <c r="A30">
        <v>29</v>
      </c>
      <c r="B30" s="1">
        <v>45567</v>
      </c>
      <c r="C30" t="s">
        <v>6</v>
      </c>
      <c r="D30">
        <v>15.6</v>
      </c>
      <c r="E30">
        <v>14.2</v>
      </c>
      <c r="G30" t="s">
        <v>33</v>
      </c>
      <c r="H30">
        <f>H23-H22</f>
        <v>9.0291999999999994</v>
      </c>
      <c r="S30">
        <v>29</v>
      </c>
      <c r="T30" s="1">
        <v>45945</v>
      </c>
      <c r="U30" s="18" t="s">
        <v>6</v>
      </c>
      <c r="V30" s="18">
        <v>9.4</v>
      </c>
    </row>
    <row r="31" spans="1:22" x14ac:dyDescent="0.2">
      <c r="A31">
        <v>30</v>
      </c>
      <c r="B31" s="1">
        <v>45609</v>
      </c>
      <c r="C31" t="s">
        <v>6</v>
      </c>
      <c r="D31">
        <v>20.3</v>
      </c>
      <c r="E31">
        <v>18.5</v>
      </c>
      <c r="G31" t="s">
        <v>34</v>
      </c>
      <c r="H31">
        <f>H24-H23</f>
        <v>3.0750000000000011</v>
      </c>
      <c r="S31">
        <v>30</v>
      </c>
      <c r="T31" s="1">
        <v>45721</v>
      </c>
      <c r="U31" t="s">
        <v>6</v>
      </c>
      <c r="V31">
        <v>9.6999999999999993</v>
      </c>
    </row>
    <row r="32" spans="1:22" x14ac:dyDescent="0.2">
      <c r="A32">
        <v>31</v>
      </c>
      <c r="B32" s="1">
        <v>45609</v>
      </c>
      <c r="C32" t="s">
        <v>6</v>
      </c>
      <c r="D32">
        <v>45.3</v>
      </c>
      <c r="E32">
        <v>41.2</v>
      </c>
      <c r="G32" t="s">
        <v>35</v>
      </c>
      <c r="H32">
        <f>H25-H24</f>
        <v>2.3999999999999986</v>
      </c>
      <c r="S32">
        <v>31</v>
      </c>
      <c r="T32" s="1">
        <v>45665</v>
      </c>
      <c r="U32" t="s">
        <v>6</v>
      </c>
      <c r="V32">
        <v>9.8000000000000007</v>
      </c>
    </row>
    <row r="33" spans="1:23" x14ac:dyDescent="0.2">
      <c r="A33">
        <v>32</v>
      </c>
      <c r="B33" s="1">
        <v>45609</v>
      </c>
      <c r="C33" t="s">
        <v>6</v>
      </c>
      <c r="D33">
        <v>17.5</v>
      </c>
      <c r="E33">
        <v>15.9</v>
      </c>
      <c r="G33" t="s">
        <v>36</v>
      </c>
      <c r="H33">
        <f>H26-H25</f>
        <v>26.400000000000006</v>
      </c>
      <c r="S33">
        <v>32</v>
      </c>
      <c r="T33" s="1">
        <v>45693</v>
      </c>
      <c r="U33" t="s">
        <v>6</v>
      </c>
      <c r="V33">
        <v>9.9</v>
      </c>
    </row>
    <row r="34" spans="1:23" x14ac:dyDescent="0.2">
      <c r="A34">
        <v>33</v>
      </c>
      <c r="B34" s="1">
        <v>45609</v>
      </c>
      <c r="C34" t="s">
        <v>6</v>
      </c>
      <c r="D34">
        <v>15.3</v>
      </c>
      <c r="E34">
        <v>13.9</v>
      </c>
      <c r="S34">
        <v>33</v>
      </c>
      <c r="T34" s="1">
        <v>45763</v>
      </c>
      <c r="U34" t="s">
        <v>6</v>
      </c>
      <c r="V34" s="18">
        <v>10.3</v>
      </c>
    </row>
    <row r="35" spans="1:23" x14ac:dyDescent="0.2">
      <c r="A35">
        <v>34</v>
      </c>
      <c r="B35" s="1">
        <v>45609</v>
      </c>
      <c r="C35" t="s">
        <v>6</v>
      </c>
      <c r="D35">
        <v>12.7</v>
      </c>
      <c r="E35">
        <v>11.6</v>
      </c>
      <c r="G35" t="s">
        <v>4</v>
      </c>
      <c r="H35" t="s">
        <v>142</v>
      </c>
      <c r="S35">
        <v>34</v>
      </c>
      <c r="T35" s="1">
        <v>45721</v>
      </c>
      <c r="U35" t="s">
        <v>6</v>
      </c>
      <c r="V35" s="20">
        <v>10.5</v>
      </c>
    </row>
    <row r="36" spans="1:23" x14ac:dyDescent="0.2">
      <c r="A36">
        <v>35</v>
      </c>
      <c r="B36" s="1">
        <v>45609</v>
      </c>
      <c r="C36" t="s">
        <v>6</v>
      </c>
      <c r="D36">
        <v>18.3</v>
      </c>
      <c r="E36">
        <v>16.7</v>
      </c>
      <c r="G36" s="1">
        <v>44872</v>
      </c>
      <c r="H36" s="20">
        <f>E2</f>
        <v>13.8</v>
      </c>
      <c r="I36">
        <v>1</v>
      </c>
      <c r="S36">
        <v>35</v>
      </c>
      <c r="T36" s="1">
        <v>46194</v>
      </c>
      <c r="U36" t="s">
        <v>6</v>
      </c>
      <c r="V36">
        <v>10.8</v>
      </c>
    </row>
    <row r="37" spans="1:23" x14ac:dyDescent="0.2">
      <c r="A37">
        <v>36</v>
      </c>
      <c r="B37" s="1">
        <v>45623</v>
      </c>
      <c r="C37" t="s">
        <v>155</v>
      </c>
      <c r="E37" s="18">
        <v>8.1999999999999993</v>
      </c>
      <c r="G37" s="1">
        <v>44909</v>
      </c>
      <c r="H37" s="20">
        <f>E3</f>
        <v>19.8</v>
      </c>
      <c r="I37">
        <v>1</v>
      </c>
      <c r="S37">
        <v>36</v>
      </c>
      <c r="T37" s="35">
        <v>45903</v>
      </c>
      <c r="U37" s="36" t="s">
        <v>6</v>
      </c>
      <c r="V37" s="36">
        <v>10.9</v>
      </c>
    </row>
    <row r="38" spans="1:23" x14ac:dyDescent="0.2">
      <c r="A38">
        <v>37</v>
      </c>
      <c r="B38" s="1">
        <v>45623</v>
      </c>
      <c r="C38" t="s">
        <v>155</v>
      </c>
      <c r="E38" s="18">
        <v>5.4</v>
      </c>
      <c r="G38" s="1">
        <v>44916</v>
      </c>
      <c r="H38" s="20">
        <f>AVERAGE(E4:E5)</f>
        <v>21.4</v>
      </c>
      <c r="I38">
        <v>2</v>
      </c>
      <c r="S38">
        <v>37</v>
      </c>
      <c r="T38" s="1">
        <v>46057</v>
      </c>
      <c r="U38" t="s">
        <v>6</v>
      </c>
      <c r="V38">
        <v>11</v>
      </c>
    </row>
    <row r="39" spans="1:23" ht="17" thickBot="1" x14ac:dyDescent="0.25">
      <c r="A39">
        <v>38</v>
      </c>
      <c r="B39" s="1">
        <v>45623</v>
      </c>
      <c r="C39" t="s">
        <v>6</v>
      </c>
      <c r="E39">
        <v>11.8</v>
      </c>
      <c r="G39" s="12">
        <v>44937</v>
      </c>
      <c r="H39" s="20">
        <f>AVERAGE(E6:E7)</f>
        <v>11.95</v>
      </c>
      <c r="I39">
        <v>2</v>
      </c>
      <c r="S39">
        <v>38</v>
      </c>
      <c r="T39" s="1">
        <v>46099</v>
      </c>
      <c r="U39" t="s">
        <v>6</v>
      </c>
      <c r="V39">
        <v>11</v>
      </c>
    </row>
    <row r="40" spans="1:23" x14ac:dyDescent="0.2">
      <c r="A40">
        <v>39</v>
      </c>
      <c r="B40" s="1">
        <v>45623</v>
      </c>
      <c r="C40" t="s">
        <v>155</v>
      </c>
      <c r="E40" s="18"/>
      <c r="G40" s="6">
        <v>44944</v>
      </c>
      <c r="H40" s="20">
        <f>AVERAGE(E8:E10)</f>
        <v>16</v>
      </c>
      <c r="I40">
        <v>3</v>
      </c>
      <c r="S40">
        <v>39</v>
      </c>
      <c r="T40" s="1">
        <v>45567</v>
      </c>
      <c r="U40" t="s">
        <v>6</v>
      </c>
      <c r="V40">
        <v>11.1</v>
      </c>
    </row>
    <row r="41" spans="1:23" x14ac:dyDescent="0.2">
      <c r="A41">
        <v>40</v>
      </c>
      <c r="B41" s="1">
        <v>45637</v>
      </c>
      <c r="C41" t="s">
        <v>155</v>
      </c>
      <c r="E41" s="18">
        <v>11.5</v>
      </c>
      <c r="G41" s="1">
        <v>44958</v>
      </c>
      <c r="H41" s="20">
        <f>AVERAGE(E11:E13)</f>
        <v>19.3</v>
      </c>
      <c r="I41">
        <v>3</v>
      </c>
      <c r="S41">
        <v>40</v>
      </c>
      <c r="T41" s="1">
        <v>45777</v>
      </c>
      <c r="U41" t="s">
        <v>6</v>
      </c>
      <c r="V41">
        <v>11.3</v>
      </c>
    </row>
    <row r="42" spans="1:23" ht="17" thickBot="1" x14ac:dyDescent="0.25">
      <c r="A42">
        <v>41</v>
      </c>
      <c r="B42" s="1">
        <v>45637</v>
      </c>
      <c r="C42" t="s">
        <v>155</v>
      </c>
      <c r="E42" s="18">
        <v>11.5</v>
      </c>
      <c r="G42" s="1">
        <v>45042</v>
      </c>
      <c r="H42" s="20">
        <f>AVERAGE(E14:E15)</f>
        <v>15.5</v>
      </c>
      <c r="I42">
        <v>2</v>
      </c>
      <c r="S42">
        <v>41</v>
      </c>
      <c r="T42" s="1">
        <v>45693</v>
      </c>
      <c r="U42" t="s">
        <v>6</v>
      </c>
      <c r="V42">
        <v>11.4</v>
      </c>
    </row>
    <row r="43" spans="1:23" x14ac:dyDescent="0.2">
      <c r="A43">
        <v>42</v>
      </c>
      <c r="B43" s="1">
        <v>45637</v>
      </c>
      <c r="C43" t="s">
        <v>155</v>
      </c>
      <c r="E43" s="18">
        <v>11.9</v>
      </c>
      <c r="G43" s="6">
        <v>45210</v>
      </c>
      <c r="H43" s="20">
        <f>AVERAGE(E16:E17)</f>
        <v>18.649999999999999</v>
      </c>
      <c r="I43">
        <v>2</v>
      </c>
      <c r="S43">
        <v>42</v>
      </c>
      <c r="T43" s="1">
        <v>45483</v>
      </c>
      <c r="U43" t="s">
        <v>6</v>
      </c>
      <c r="V43">
        <v>11.5</v>
      </c>
    </row>
    <row r="44" spans="1:23" x14ac:dyDescent="0.2">
      <c r="A44">
        <v>43</v>
      </c>
      <c r="B44" s="1">
        <v>45637</v>
      </c>
      <c r="C44" t="s">
        <v>6</v>
      </c>
      <c r="E44">
        <v>7.1</v>
      </c>
      <c r="G44" s="1">
        <v>45392</v>
      </c>
      <c r="H44" s="20">
        <f>AVERAGE(E18:E21)</f>
        <v>14.899999999999999</v>
      </c>
      <c r="I44">
        <v>4</v>
      </c>
      <c r="S44">
        <v>43</v>
      </c>
      <c r="T44" s="1">
        <v>45637</v>
      </c>
      <c r="U44" t="s">
        <v>155</v>
      </c>
      <c r="V44" s="18">
        <v>11.5</v>
      </c>
      <c r="W44" s="18"/>
    </row>
    <row r="45" spans="1:23" x14ac:dyDescent="0.2">
      <c r="A45">
        <v>44</v>
      </c>
      <c r="B45" s="1">
        <v>45637</v>
      </c>
      <c r="C45" t="s">
        <v>155</v>
      </c>
      <c r="G45" s="1">
        <v>45462</v>
      </c>
      <c r="H45" s="20">
        <f>E22</f>
        <v>15.1</v>
      </c>
      <c r="I45">
        <v>1</v>
      </c>
      <c r="S45">
        <v>44</v>
      </c>
      <c r="T45" s="1">
        <v>45637</v>
      </c>
      <c r="U45" t="s">
        <v>155</v>
      </c>
      <c r="V45" s="18">
        <v>11.5</v>
      </c>
      <c r="W45" s="18"/>
    </row>
    <row r="46" spans="1:23" ht="17" thickBot="1" x14ac:dyDescent="0.25">
      <c r="A46">
        <v>45</v>
      </c>
      <c r="B46" s="1">
        <v>45644</v>
      </c>
      <c r="C46" t="s">
        <v>155</v>
      </c>
      <c r="E46" s="18">
        <v>11.8</v>
      </c>
      <c r="G46" s="1">
        <v>45483</v>
      </c>
      <c r="H46" s="20">
        <f>AVERAGE(E23:E24)</f>
        <v>10</v>
      </c>
      <c r="I46">
        <v>2</v>
      </c>
      <c r="S46">
        <v>45</v>
      </c>
      <c r="T46" s="1">
        <v>45679</v>
      </c>
      <c r="U46" t="s">
        <v>6</v>
      </c>
      <c r="V46">
        <v>11.5</v>
      </c>
    </row>
    <row r="47" spans="1:23" x14ac:dyDescent="0.2">
      <c r="A47">
        <v>46</v>
      </c>
      <c r="B47" s="1">
        <v>45644</v>
      </c>
      <c r="C47" t="s">
        <v>155</v>
      </c>
      <c r="E47" s="18">
        <v>12.6</v>
      </c>
      <c r="G47" s="6">
        <v>45518</v>
      </c>
      <c r="H47" s="20">
        <f>AVERAGE(E25:E26)</f>
        <v>12.05</v>
      </c>
      <c r="I47">
        <v>2</v>
      </c>
      <c r="S47">
        <v>46</v>
      </c>
      <c r="T47" s="1">
        <v>45609</v>
      </c>
      <c r="U47" t="s">
        <v>6</v>
      </c>
      <c r="V47">
        <v>11.6</v>
      </c>
    </row>
    <row r="48" spans="1:23" x14ac:dyDescent="0.2">
      <c r="A48">
        <v>47</v>
      </c>
      <c r="B48" s="1">
        <v>45644</v>
      </c>
      <c r="C48" t="s">
        <v>6</v>
      </c>
      <c r="E48">
        <v>12.4</v>
      </c>
      <c r="G48" s="1">
        <v>45567</v>
      </c>
      <c r="H48" s="20">
        <f>AVERAGE(E27:E30)</f>
        <v>12.7</v>
      </c>
      <c r="I48">
        <v>4</v>
      </c>
      <c r="S48">
        <v>47</v>
      </c>
      <c r="T48" s="35">
        <v>45623</v>
      </c>
      <c r="U48" s="36" t="s">
        <v>6</v>
      </c>
      <c r="V48" s="36">
        <v>11.8</v>
      </c>
    </row>
    <row r="49" spans="1:22" x14ac:dyDescent="0.2">
      <c r="A49">
        <v>48</v>
      </c>
      <c r="B49" s="1">
        <v>45665</v>
      </c>
      <c r="C49" t="s">
        <v>6</v>
      </c>
      <c r="E49">
        <v>7.3</v>
      </c>
      <c r="G49" s="1">
        <v>45609</v>
      </c>
      <c r="H49" s="20">
        <f>AVERAGE(E31:E36)</f>
        <v>19.633333333333336</v>
      </c>
      <c r="I49">
        <v>6</v>
      </c>
      <c r="S49">
        <v>48</v>
      </c>
      <c r="T49" s="1">
        <v>45644</v>
      </c>
      <c r="U49" t="s">
        <v>155</v>
      </c>
      <c r="V49" s="18">
        <v>11.8</v>
      </c>
    </row>
    <row r="50" spans="1:22" x14ac:dyDescent="0.2">
      <c r="A50">
        <v>49</v>
      </c>
      <c r="B50" s="1">
        <v>45665</v>
      </c>
      <c r="C50" t="s">
        <v>6</v>
      </c>
      <c r="E50">
        <v>7.5</v>
      </c>
      <c r="G50" s="1">
        <v>45623</v>
      </c>
      <c r="H50" s="20">
        <f>AVERAGE(E37:E39)</f>
        <v>8.4666666666666668</v>
      </c>
      <c r="I50">
        <v>4</v>
      </c>
      <c r="S50">
        <v>49</v>
      </c>
      <c r="T50" s="1">
        <v>45833</v>
      </c>
      <c r="U50" t="s">
        <v>6</v>
      </c>
      <c r="V50">
        <v>11.8</v>
      </c>
    </row>
    <row r="51" spans="1:22" x14ac:dyDescent="0.2">
      <c r="A51">
        <v>50</v>
      </c>
      <c r="B51" s="1">
        <v>45665</v>
      </c>
      <c r="C51" t="s">
        <v>6</v>
      </c>
      <c r="E51">
        <v>6.9</v>
      </c>
      <c r="G51" s="1">
        <v>45637</v>
      </c>
      <c r="H51" s="20">
        <f>AVERAGE(E41:E44)</f>
        <v>10.5</v>
      </c>
      <c r="I51">
        <v>5</v>
      </c>
      <c r="S51">
        <v>50</v>
      </c>
      <c r="T51" s="1">
        <v>44937</v>
      </c>
      <c r="U51" t="s">
        <v>6</v>
      </c>
      <c r="V51">
        <v>11.9</v>
      </c>
    </row>
    <row r="52" spans="1:22" x14ac:dyDescent="0.2">
      <c r="A52">
        <v>51</v>
      </c>
      <c r="B52" s="1">
        <v>45665</v>
      </c>
      <c r="C52" t="s">
        <v>6</v>
      </c>
      <c r="E52">
        <v>9.8000000000000007</v>
      </c>
      <c r="G52" s="1">
        <v>45644</v>
      </c>
      <c r="H52" s="20">
        <f>AVERAGE(E46:E48)</f>
        <v>12.266666666666666</v>
      </c>
      <c r="I52">
        <v>3</v>
      </c>
      <c r="S52">
        <v>51</v>
      </c>
      <c r="T52" s="1">
        <v>45637</v>
      </c>
      <c r="U52" t="s">
        <v>155</v>
      </c>
      <c r="V52" s="18">
        <v>11.9</v>
      </c>
    </row>
    <row r="53" spans="1:22" x14ac:dyDescent="0.2">
      <c r="A53">
        <v>52</v>
      </c>
      <c r="B53" s="1">
        <v>45665</v>
      </c>
      <c r="C53" t="s">
        <v>6</v>
      </c>
      <c r="E53">
        <v>6.8</v>
      </c>
      <c r="G53" s="1">
        <v>45665</v>
      </c>
      <c r="H53" s="20">
        <f>AVERAGE(E49:E56)</f>
        <v>8.0374999999999996</v>
      </c>
      <c r="I53">
        <v>8</v>
      </c>
      <c r="S53">
        <v>52</v>
      </c>
      <c r="T53" s="1">
        <v>44937</v>
      </c>
      <c r="U53" t="s">
        <v>6</v>
      </c>
      <c r="V53">
        <v>12</v>
      </c>
    </row>
    <row r="54" spans="1:22" x14ac:dyDescent="0.2">
      <c r="A54">
        <v>53</v>
      </c>
      <c r="B54" s="1">
        <v>45665</v>
      </c>
      <c r="C54" t="s">
        <v>6</v>
      </c>
      <c r="E54">
        <v>5.6</v>
      </c>
      <c r="G54" s="1">
        <v>45679</v>
      </c>
      <c r="H54" s="20">
        <f>AVERAGE(E57:E60)</f>
        <v>12.324999999999999</v>
      </c>
      <c r="I54">
        <v>4</v>
      </c>
      <c r="S54">
        <v>53</v>
      </c>
      <c r="T54" s="1">
        <v>45679</v>
      </c>
      <c r="U54" t="s">
        <v>6</v>
      </c>
      <c r="V54">
        <v>12.1</v>
      </c>
    </row>
    <row r="55" spans="1:22" x14ac:dyDescent="0.2">
      <c r="A55">
        <v>54</v>
      </c>
      <c r="B55" s="1">
        <v>45665</v>
      </c>
      <c r="C55" t="s">
        <v>6</v>
      </c>
      <c r="E55">
        <v>12.8</v>
      </c>
      <c r="G55" s="1">
        <v>45693</v>
      </c>
      <c r="H55" s="20">
        <f>AVERAGE(E61:E70)</f>
        <v>5.4692799999999995</v>
      </c>
      <c r="I55">
        <v>10</v>
      </c>
      <c r="S55">
        <v>54</v>
      </c>
      <c r="T55" s="1">
        <v>45763</v>
      </c>
      <c r="U55" t="s">
        <v>6</v>
      </c>
      <c r="V55">
        <v>12.3</v>
      </c>
    </row>
    <row r="56" spans="1:22" x14ac:dyDescent="0.2">
      <c r="A56">
        <v>55</v>
      </c>
      <c r="B56" s="1">
        <v>45665</v>
      </c>
      <c r="C56" t="s">
        <v>6</v>
      </c>
      <c r="E56">
        <v>7.6</v>
      </c>
      <c r="G56" s="1">
        <v>45721</v>
      </c>
      <c r="H56">
        <f>MAX(E71:E72)</f>
        <v>10.5</v>
      </c>
      <c r="I56">
        <v>3</v>
      </c>
      <c r="S56">
        <v>55</v>
      </c>
      <c r="T56" s="1">
        <v>45973</v>
      </c>
      <c r="U56" t="s">
        <v>6</v>
      </c>
      <c r="V56">
        <v>12.3</v>
      </c>
    </row>
    <row r="57" spans="1:22" x14ac:dyDescent="0.2">
      <c r="A57">
        <v>56</v>
      </c>
      <c r="B57" s="1">
        <v>45679</v>
      </c>
      <c r="C57" t="s">
        <v>6</v>
      </c>
      <c r="E57">
        <v>12.1</v>
      </c>
      <c r="G57" s="1">
        <v>45735</v>
      </c>
      <c r="H57">
        <f>E73</f>
        <v>9.1</v>
      </c>
      <c r="I57">
        <v>1</v>
      </c>
      <c r="S57">
        <v>56</v>
      </c>
      <c r="T57" s="1">
        <v>45644</v>
      </c>
      <c r="U57" t="s">
        <v>6</v>
      </c>
      <c r="V57">
        <v>12.4</v>
      </c>
    </row>
    <row r="58" spans="1:22" x14ac:dyDescent="0.2">
      <c r="A58">
        <v>57</v>
      </c>
      <c r="B58" s="1">
        <v>45679</v>
      </c>
      <c r="C58" t="s">
        <v>6</v>
      </c>
      <c r="E58">
        <v>12.9</v>
      </c>
      <c r="G58" s="1">
        <v>45763</v>
      </c>
      <c r="H58">
        <f>AVERAGE(E74:E75)</f>
        <v>11.3</v>
      </c>
      <c r="I58">
        <v>2</v>
      </c>
      <c r="S58">
        <v>57</v>
      </c>
      <c r="T58" s="1">
        <v>45847</v>
      </c>
      <c r="U58" t="s">
        <v>6</v>
      </c>
      <c r="V58">
        <v>12.4</v>
      </c>
    </row>
    <row r="59" spans="1:22" x14ac:dyDescent="0.2">
      <c r="A59">
        <v>58</v>
      </c>
      <c r="B59" s="1">
        <v>45679</v>
      </c>
      <c r="C59" t="s">
        <v>6</v>
      </c>
      <c r="E59">
        <v>12.8</v>
      </c>
      <c r="G59" s="1">
        <v>45777</v>
      </c>
      <c r="H59">
        <f>AVERAGE(E76:E77)</f>
        <v>13.700000000000001</v>
      </c>
      <c r="I59">
        <v>2</v>
      </c>
      <c r="S59">
        <v>58</v>
      </c>
      <c r="T59" s="1">
        <v>45931</v>
      </c>
      <c r="U59" t="s">
        <v>6</v>
      </c>
      <c r="V59">
        <v>12.5</v>
      </c>
    </row>
    <row r="60" spans="1:22" x14ac:dyDescent="0.2">
      <c r="A60">
        <v>59</v>
      </c>
      <c r="B60" s="1">
        <v>45679</v>
      </c>
      <c r="C60" t="s">
        <v>6</v>
      </c>
      <c r="E60">
        <v>11.5</v>
      </c>
      <c r="G60" s="1">
        <v>45791</v>
      </c>
      <c r="H60">
        <f>E78</f>
        <v>15.9</v>
      </c>
      <c r="I60">
        <v>1</v>
      </c>
      <c r="S60">
        <v>59</v>
      </c>
      <c r="T60" s="35">
        <v>46085</v>
      </c>
      <c r="U60" s="36" t="s">
        <v>6</v>
      </c>
      <c r="V60" s="36">
        <v>12.5</v>
      </c>
    </row>
    <row r="61" spans="1:22" x14ac:dyDescent="0.2">
      <c r="A61">
        <v>60</v>
      </c>
      <c r="B61" s="1">
        <v>45693</v>
      </c>
      <c r="C61" t="s">
        <v>155</v>
      </c>
      <c r="E61" s="40">
        <v>0.29580000000000001</v>
      </c>
      <c r="G61" s="1">
        <v>45805</v>
      </c>
      <c r="H61">
        <f>E79</f>
        <v>15.2</v>
      </c>
      <c r="I61">
        <v>1</v>
      </c>
      <c r="S61">
        <v>60</v>
      </c>
      <c r="T61" s="1">
        <v>45644</v>
      </c>
      <c r="U61" t="s">
        <v>155</v>
      </c>
      <c r="V61" s="18">
        <v>12.6</v>
      </c>
    </row>
    <row r="62" spans="1:22" x14ac:dyDescent="0.2">
      <c r="A62">
        <v>61</v>
      </c>
      <c r="B62" s="1">
        <v>45693</v>
      </c>
      <c r="C62" t="s">
        <v>155</v>
      </c>
      <c r="E62" s="40">
        <v>0.30449999999999999</v>
      </c>
      <c r="G62" s="1">
        <v>45819</v>
      </c>
      <c r="H62">
        <f>E80</f>
        <v>13.2</v>
      </c>
      <c r="I62">
        <v>1</v>
      </c>
      <c r="S62">
        <v>61</v>
      </c>
      <c r="T62" s="35">
        <v>45987</v>
      </c>
      <c r="U62" s="36" t="s">
        <v>6</v>
      </c>
      <c r="V62" s="36">
        <v>12.6</v>
      </c>
    </row>
    <row r="63" spans="1:22" x14ac:dyDescent="0.2">
      <c r="A63">
        <v>62</v>
      </c>
      <c r="B63" s="1">
        <v>45693</v>
      </c>
      <c r="C63" t="s">
        <v>155</v>
      </c>
      <c r="E63" s="40">
        <v>0.30449999999999999</v>
      </c>
      <c r="G63" s="1">
        <v>45833</v>
      </c>
      <c r="H63">
        <f>AVERAGE(E82)</f>
        <v>14.1</v>
      </c>
      <c r="I63">
        <v>2</v>
      </c>
      <c r="S63">
        <v>62</v>
      </c>
      <c r="T63" s="1">
        <v>45665</v>
      </c>
      <c r="U63" t="s">
        <v>6</v>
      </c>
      <c r="V63">
        <v>12.8</v>
      </c>
    </row>
    <row r="64" spans="1:22" x14ac:dyDescent="0.2">
      <c r="A64">
        <v>63</v>
      </c>
      <c r="B64" s="1">
        <v>45693</v>
      </c>
      <c r="C64" t="s">
        <v>155</v>
      </c>
      <c r="E64" s="40">
        <v>4.8719999999999999</v>
      </c>
      <c r="G64" s="1">
        <v>45847</v>
      </c>
      <c r="H64">
        <f>AVERAGE(E83:E85)</f>
        <v>11.1</v>
      </c>
      <c r="I64">
        <v>3</v>
      </c>
      <c r="S64">
        <v>63</v>
      </c>
      <c r="T64" s="1">
        <v>45679</v>
      </c>
      <c r="U64" t="s">
        <v>6</v>
      </c>
      <c r="V64">
        <v>12.8</v>
      </c>
    </row>
    <row r="65" spans="1:22" x14ac:dyDescent="0.2">
      <c r="A65">
        <v>64</v>
      </c>
      <c r="B65" s="1">
        <v>45693</v>
      </c>
      <c r="C65" t="s">
        <v>6</v>
      </c>
      <c r="E65" s="40">
        <v>4.7850000000000001</v>
      </c>
      <c r="G65" s="1">
        <v>45889</v>
      </c>
      <c r="H65" s="20">
        <f>AVERAGE(E86:E89)</f>
        <v>13.549999999999999</v>
      </c>
      <c r="I65">
        <v>4</v>
      </c>
      <c r="S65">
        <v>64</v>
      </c>
      <c r="T65" s="1">
        <v>45889</v>
      </c>
      <c r="U65" t="s">
        <v>6</v>
      </c>
      <c r="V65">
        <v>12.8</v>
      </c>
    </row>
    <row r="66" spans="1:22" x14ac:dyDescent="0.2">
      <c r="A66">
        <v>65</v>
      </c>
      <c r="B66" s="1">
        <v>45693</v>
      </c>
      <c r="C66" t="s">
        <v>6</v>
      </c>
      <c r="E66" s="40">
        <v>4.524</v>
      </c>
      <c r="G66" s="1">
        <v>45903</v>
      </c>
      <c r="H66">
        <f>AVERAGE(E90:E91)</f>
        <v>13</v>
      </c>
      <c r="I66">
        <v>2</v>
      </c>
      <c r="S66">
        <v>65</v>
      </c>
      <c r="T66" s="1">
        <v>44944</v>
      </c>
      <c r="U66" t="s">
        <v>6</v>
      </c>
      <c r="V66">
        <v>12.9</v>
      </c>
    </row>
    <row r="67" spans="1:22" x14ac:dyDescent="0.2">
      <c r="A67">
        <v>66</v>
      </c>
      <c r="B67" s="1">
        <v>45693</v>
      </c>
      <c r="C67" t="s">
        <v>6</v>
      </c>
      <c r="E67" s="40">
        <v>5.3069999999999995</v>
      </c>
      <c r="G67" s="1">
        <v>45917</v>
      </c>
      <c r="H67">
        <f>E92</f>
        <v>13.6</v>
      </c>
      <c r="I67">
        <v>1</v>
      </c>
      <c r="S67">
        <v>66</v>
      </c>
      <c r="T67" s="1">
        <v>45679</v>
      </c>
      <c r="U67" t="s">
        <v>6</v>
      </c>
      <c r="V67">
        <v>12.9</v>
      </c>
    </row>
    <row r="68" spans="1:22" x14ac:dyDescent="0.2">
      <c r="A68">
        <v>67</v>
      </c>
      <c r="B68" s="1">
        <v>45693</v>
      </c>
      <c r="C68" t="s">
        <v>6</v>
      </c>
      <c r="E68">
        <v>9.9</v>
      </c>
      <c r="G68" s="1">
        <v>45931</v>
      </c>
      <c r="H68">
        <f>AVERAGE(E93:E94)</f>
        <v>8.1</v>
      </c>
      <c r="I68">
        <v>2</v>
      </c>
      <c r="S68">
        <v>67</v>
      </c>
      <c r="T68" s="1">
        <v>45889</v>
      </c>
      <c r="U68" t="s">
        <v>6</v>
      </c>
      <c r="V68">
        <v>12.9</v>
      </c>
    </row>
    <row r="69" spans="1:22" x14ac:dyDescent="0.2">
      <c r="A69">
        <v>68</v>
      </c>
      <c r="B69" s="1">
        <v>45693</v>
      </c>
      <c r="C69" t="s">
        <v>6</v>
      </c>
      <c r="E69">
        <v>11.4</v>
      </c>
      <c r="G69" s="1">
        <v>45945</v>
      </c>
      <c r="H69">
        <f>AVERAGE(E95:E97)</f>
        <v>7.2</v>
      </c>
      <c r="I69">
        <v>3</v>
      </c>
      <c r="S69">
        <v>68</v>
      </c>
      <c r="T69" s="1">
        <v>45693</v>
      </c>
      <c r="U69" t="s">
        <v>6</v>
      </c>
      <c r="V69">
        <v>13</v>
      </c>
    </row>
    <row r="70" spans="1:22" x14ac:dyDescent="0.2">
      <c r="A70">
        <v>69</v>
      </c>
      <c r="B70" s="1">
        <v>45693</v>
      </c>
      <c r="C70" t="s">
        <v>6</v>
      </c>
      <c r="E70">
        <v>13</v>
      </c>
      <c r="G70" s="1">
        <v>45959</v>
      </c>
      <c r="H70" s="20">
        <f>AVERAGE(E98:E99)</f>
        <v>13.75</v>
      </c>
      <c r="I70">
        <v>2</v>
      </c>
      <c r="S70">
        <v>69</v>
      </c>
      <c r="T70" s="1">
        <v>45889</v>
      </c>
      <c r="U70" t="s">
        <v>6</v>
      </c>
      <c r="V70">
        <v>13</v>
      </c>
    </row>
    <row r="71" spans="1:22" x14ac:dyDescent="0.2">
      <c r="A71">
        <v>70</v>
      </c>
      <c r="B71" s="1">
        <v>45721</v>
      </c>
      <c r="C71" t="s">
        <v>6</v>
      </c>
      <c r="E71">
        <v>9.6999999999999993</v>
      </c>
      <c r="G71" s="1">
        <v>45973</v>
      </c>
      <c r="H71" s="20">
        <f>AVERAGE(E100:E102)</f>
        <v>11.466666666666669</v>
      </c>
      <c r="I71">
        <v>3</v>
      </c>
      <c r="S71">
        <v>70</v>
      </c>
      <c r="T71" s="1">
        <v>46113</v>
      </c>
      <c r="U71" t="s">
        <v>6</v>
      </c>
      <c r="V71">
        <v>13.1</v>
      </c>
    </row>
    <row r="72" spans="1:22" x14ac:dyDescent="0.2">
      <c r="A72">
        <v>71</v>
      </c>
      <c r="B72" s="1">
        <v>45721</v>
      </c>
      <c r="C72" t="s">
        <v>6</v>
      </c>
      <c r="E72" s="20">
        <v>10.5</v>
      </c>
      <c r="G72" s="1">
        <v>45987</v>
      </c>
      <c r="H72" s="20">
        <f>AVERAGE(E103:E107)</f>
        <v>9.625</v>
      </c>
      <c r="I72">
        <v>5</v>
      </c>
      <c r="S72">
        <v>71</v>
      </c>
      <c r="T72" s="1">
        <v>45819</v>
      </c>
      <c r="U72" t="s">
        <v>6</v>
      </c>
      <c r="V72">
        <v>13.2</v>
      </c>
    </row>
    <row r="73" spans="1:22" x14ac:dyDescent="0.2">
      <c r="A73">
        <v>72</v>
      </c>
      <c r="B73" s="1">
        <v>45735</v>
      </c>
      <c r="C73" t="s">
        <v>6</v>
      </c>
      <c r="E73">
        <v>9.1</v>
      </c>
      <c r="G73" s="1">
        <v>46043</v>
      </c>
      <c r="H73">
        <f>AVERAGE(E108:E109)</f>
        <v>9.8500000000000014</v>
      </c>
      <c r="I73">
        <v>2</v>
      </c>
      <c r="S73">
        <v>72</v>
      </c>
      <c r="T73" s="1">
        <v>45973</v>
      </c>
      <c r="U73" t="s">
        <v>6</v>
      </c>
      <c r="V73">
        <v>13.2</v>
      </c>
    </row>
    <row r="74" spans="1:22" x14ac:dyDescent="0.2">
      <c r="A74">
        <v>73</v>
      </c>
      <c r="B74" s="1">
        <v>45763</v>
      </c>
      <c r="C74" t="s">
        <v>6</v>
      </c>
      <c r="E74">
        <v>12.3</v>
      </c>
      <c r="G74" s="1">
        <v>46057</v>
      </c>
      <c r="H74">
        <f>AVERAGE(E110:E111)</f>
        <v>14.6</v>
      </c>
      <c r="I74">
        <v>2</v>
      </c>
      <c r="S74">
        <v>73</v>
      </c>
      <c r="T74" s="1">
        <v>45959</v>
      </c>
      <c r="U74" t="s">
        <v>6</v>
      </c>
      <c r="V74">
        <v>13.3</v>
      </c>
    </row>
    <row r="75" spans="1:22" x14ac:dyDescent="0.2">
      <c r="A75">
        <v>74</v>
      </c>
      <c r="B75" s="1">
        <v>45763</v>
      </c>
      <c r="C75" t="s">
        <v>6</v>
      </c>
      <c r="E75" s="18">
        <v>10.3</v>
      </c>
      <c r="G75" s="1">
        <v>46085</v>
      </c>
      <c r="H75">
        <f>E112</f>
        <v>12.5</v>
      </c>
      <c r="I75">
        <v>1</v>
      </c>
      <c r="S75">
        <v>74</v>
      </c>
      <c r="T75" s="1">
        <v>45917</v>
      </c>
      <c r="U75" t="s">
        <v>6</v>
      </c>
      <c r="V75">
        <v>13.6</v>
      </c>
    </row>
    <row r="76" spans="1:22" x14ac:dyDescent="0.2">
      <c r="A76">
        <v>75</v>
      </c>
      <c r="B76" s="1">
        <v>45777</v>
      </c>
      <c r="C76" t="s">
        <v>6</v>
      </c>
      <c r="E76">
        <v>11.3</v>
      </c>
      <c r="G76" s="1">
        <v>46099</v>
      </c>
      <c r="H76">
        <f>E113</f>
        <v>11</v>
      </c>
      <c r="I76">
        <v>1</v>
      </c>
      <c r="S76">
        <v>75</v>
      </c>
      <c r="T76" s="1">
        <v>44872</v>
      </c>
      <c r="U76" t="s">
        <v>6</v>
      </c>
      <c r="V76">
        <v>13.8</v>
      </c>
    </row>
    <row r="77" spans="1:22" x14ac:dyDescent="0.2">
      <c r="A77">
        <v>76</v>
      </c>
      <c r="B77" s="1">
        <v>45777</v>
      </c>
      <c r="C77" t="s">
        <v>6</v>
      </c>
      <c r="E77">
        <v>16.100000000000001</v>
      </c>
      <c r="G77" s="1">
        <v>46113</v>
      </c>
      <c r="H77">
        <f>AVERAGE(E114:E116)</f>
        <v>15.466666666666667</v>
      </c>
      <c r="I77">
        <v>3</v>
      </c>
      <c r="S77">
        <v>76</v>
      </c>
      <c r="T77" s="1">
        <v>45609</v>
      </c>
      <c r="U77" t="s">
        <v>6</v>
      </c>
      <c r="V77">
        <v>13.9</v>
      </c>
    </row>
    <row r="78" spans="1:22" x14ac:dyDescent="0.2">
      <c r="A78">
        <v>77</v>
      </c>
      <c r="B78" s="1">
        <v>45791</v>
      </c>
      <c r="C78" t="s">
        <v>6</v>
      </c>
      <c r="E78">
        <v>15.9</v>
      </c>
      <c r="S78">
        <v>77</v>
      </c>
      <c r="T78" s="1">
        <v>45833</v>
      </c>
      <c r="U78" t="s">
        <v>6</v>
      </c>
      <c r="V78">
        <v>14.1</v>
      </c>
    </row>
    <row r="79" spans="1:22" x14ac:dyDescent="0.2">
      <c r="A79">
        <v>78</v>
      </c>
      <c r="B79" s="1">
        <v>45805</v>
      </c>
      <c r="C79" t="s">
        <v>6</v>
      </c>
      <c r="E79">
        <v>15.2</v>
      </c>
      <c r="S79">
        <v>78</v>
      </c>
      <c r="T79" s="1">
        <v>46113</v>
      </c>
      <c r="U79" s="18" t="s">
        <v>6</v>
      </c>
      <c r="V79" s="18">
        <v>14.1</v>
      </c>
    </row>
    <row r="80" spans="1:22" x14ac:dyDescent="0.2">
      <c r="A80">
        <v>79</v>
      </c>
      <c r="B80" s="1">
        <v>45819</v>
      </c>
      <c r="C80" t="s">
        <v>6</v>
      </c>
      <c r="E80">
        <v>13.2</v>
      </c>
      <c r="S80">
        <v>79</v>
      </c>
      <c r="T80" s="1">
        <v>45567</v>
      </c>
      <c r="U80" t="s">
        <v>6</v>
      </c>
      <c r="V80">
        <v>14.2</v>
      </c>
    </row>
    <row r="81" spans="1:22" x14ac:dyDescent="0.2">
      <c r="A81">
        <v>80</v>
      </c>
      <c r="B81" s="1">
        <v>45833</v>
      </c>
      <c r="C81" t="s">
        <v>6</v>
      </c>
      <c r="E81">
        <v>11.8</v>
      </c>
      <c r="S81">
        <v>80</v>
      </c>
      <c r="T81" s="1">
        <v>45959</v>
      </c>
      <c r="U81" t="s">
        <v>6</v>
      </c>
      <c r="V81">
        <v>14.2</v>
      </c>
    </row>
    <row r="82" spans="1:22" x14ac:dyDescent="0.2">
      <c r="A82">
        <v>81</v>
      </c>
      <c r="B82" s="1">
        <v>45833</v>
      </c>
      <c r="C82" t="s">
        <v>6</v>
      </c>
      <c r="E82">
        <v>14.1</v>
      </c>
      <c r="S82">
        <v>81</v>
      </c>
      <c r="T82" s="1">
        <v>45042</v>
      </c>
      <c r="U82" t="s">
        <v>6</v>
      </c>
      <c r="V82">
        <v>14.3</v>
      </c>
    </row>
    <row r="83" spans="1:22" x14ac:dyDescent="0.2">
      <c r="A83">
        <v>82</v>
      </c>
      <c r="B83" s="1">
        <v>45847</v>
      </c>
      <c r="C83" t="s">
        <v>6</v>
      </c>
      <c r="E83">
        <v>12.4</v>
      </c>
      <c r="S83">
        <v>82</v>
      </c>
      <c r="T83" s="1">
        <v>45392</v>
      </c>
      <c r="U83" t="s">
        <v>6</v>
      </c>
      <c r="V83">
        <v>14.5</v>
      </c>
    </row>
    <row r="84" spans="1:22" x14ac:dyDescent="0.2">
      <c r="A84">
        <v>83</v>
      </c>
      <c r="B84" s="1">
        <v>45847</v>
      </c>
      <c r="C84" t="s">
        <v>6</v>
      </c>
      <c r="E84">
        <v>5.5</v>
      </c>
      <c r="S84">
        <v>83</v>
      </c>
      <c r="T84" s="1">
        <v>45392</v>
      </c>
      <c r="U84" t="s">
        <v>6</v>
      </c>
      <c r="V84">
        <v>14.6</v>
      </c>
    </row>
    <row r="85" spans="1:22" x14ac:dyDescent="0.2">
      <c r="A85">
        <v>84</v>
      </c>
      <c r="B85" s="1">
        <v>45847</v>
      </c>
      <c r="C85" t="s">
        <v>6</v>
      </c>
      <c r="E85">
        <v>15.4</v>
      </c>
      <c r="S85">
        <v>84</v>
      </c>
      <c r="T85" s="1">
        <v>45392</v>
      </c>
      <c r="U85" t="s">
        <v>6</v>
      </c>
      <c r="V85">
        <v>14.7</v>
      </c>
    </row>
    <row r="86" spans="1:22" x14ac:dyDescent="0.2">
      <c r="A86">
        <v>85</v>
      </c>
      <c r="B86" s="1">
        <v>45889</v>
      </c>
      <c r="C86" t="s">
        <v>6</v>
      </c>
      <c r="E86">
        <v>12.8</v>
      </c>
      <c r="S86">
        <v>85</v>
      </c>
      <c r="T86" s="1">
        <v>45462</v>
      </c>
      <c r="U86" t="s">
        <v>6</v>
      </c>
      <c r="V86">
        <v>15.1</v>
      </c>
    </row>
    <row r="87" spans="1:22" x14ac:dyDescent="0.2">
      <c r="A87">
        <v>86</v>
      </c>
      <c r="B87" s="1">
        <v>45889</v>
      </c>
      <c r="C87" t="s">
        <v>6</v>
      </c>
      <c r="E87">
        <v>13</v>
      </c>
      <c r="S87">
        <v>86</v>
      </c>
      <c r="T87" s="1">
        <v>45903</v>
      </c>
      <c r="U87" t="s">
        <v>6</v>
      </c>
      <c r="V87">
        <v>15.1</v>
      </c>
    </row>
    <row r="88" spans="1:22" x14ac:dyDescent="0.2">
      <c r="A88">
        <v>87</v>
      </c>
      <c r="B88" s="1">
        <v>45889</v>
      </c>
      <c r="C88" t="s">
        <v>6</v>
      </c>
      <c r="E88">
        <v>15.5</v>
      </c>
      <c r="S88">
        <v>87</v>
      </c>
      <c r="T88" s="35">
        <v>45805</v>
      </c>
      <c r="U88" s="36" t="s">
        <v>6</v>
      </c>
      <c r="V88" s="36">
        <v>15.2</v>
      </c>
    </row>
    <row r="89" spans="1:22" x14ac:dyDescent="0.2">
      <c r="A89">
        <v>88</v>
      </c>
      <c r="B89" s="1">
        <v>45889</v>
      </c>
      <c r="C89" t="s">
        <v>6</v>
      </c>
      <c r="E89">
        <v>12.9</v>
      </c>
      <c r="S89">
        <v>88</v>
      </c>
      <c r="T89" s="1">
        <v>45847</v>
      </c>
      <c r="U89" t="s">
        <v>6</v>
      </c>
      <c r="V89">
        <v>15.4</v>
      </c>
    </row>
    <row r="90" spans="1:22" x14ac:dyDescent="0.2">
      <c r="A90">
        <v>89</v>
      </c>
      <c r="B90" s="35">
        <v>45903</v>
      </c>
      <c r="C90" s="36" t="s">
        <v>6</v>
      </c>
      <c r="D90" s="36"/>
      <c r="E90" s="36">
        <v>10.9</v>
      </c>
      <c r="S90">
        <v>89</v>
      </c>
      <c r="T90" s="1">
        <v>45987</v>
      </c>
      <c r="U90" s="18" t="s">
        <v>6</v>
      </c>
      <c r="V90" s="18">
        <v>15.4</v>
      </c>
    </row>
    <row r="91" spans="1:22" x14ac:dyDescent="0.2">
      <c r="A91">
        <v>90</v>
      </c>
      <c r="B91" s="1">
        <v>45903</v>
      </c>
      <c r="C91" t="s">
        <v>6</v>
      </c>
      <c r="E91">
        <v>15.1</v>
      </c>
      <c r="S91">
        <v>90</v>
      </c>
      <c r="T91" s="1">
        <v>45889</v>
      </c>
      <c r="U91" t="s">
        <v>6</v>
      </c>
      <c r="V91">
        <v>15.5</v>
      </c>
    </row>
    <row r="92" spans="1:22" x14ac:dyDescent="0.2">
      <c r="A92">
        <v>91</v>
      </c>
      <c r="B92" s="1">
        <v>45917</v>
      </c>
      <c r="C92" t="s">
        <v>6</v>
      </c>
      <c r="E92">
        <v>13.6</v>
      </c>
      <c r="S92">
        <v>91</v>
      </c>
      <c r="T92" s="1">
        <v>45392</v>
      </c>
      <c r="U92" t="s">
        <v>6</v>
      </c>
      <c r="V92">
        <v>15.8</v>
      </c>
    </row>
    <row r="93" spans="1:22" x14ac:dyDescent="0.2">
      <c r="A93">
        <v>92</v>
      </c>
      <c r="B93" s="1">
        <v>45931</v>
      </c>
      <c r="C93" t="s">
        <v>6</v>
      </c>
      <c r="E93">
        <v>12.5</v>
      </c>
      <c r="S93">
        <v>92</v>
      </c>
      <c r="T93" s="1">
        <v>45518</v>
      </c>
      <c r="U93" t="s">
        <v>6</v>
      </c>
      <c r="V93">
        <v>15.8</v>
      </c>
    </row>
    <row r="94" spans="1:22" x14ac:dyDescent="0.2">
      <c r="A94">
        <v>93</v>
      </c>
      <c r="B94" s="1">
        <v>45931</v>
      </c>
      <c r="C94" t="s">
        <v>6</v>
      </c>
      <c r="E94">
        <v>3.7</v>
      </c>
      <c r="S94">
        <v>93</v>
      </c>
      <c r="T94" s="1">
        <v>45609</v>
      </c>
      <c r="U94" t="s">
        <v>6</v>
      </c>
      <c r="V94">
        <v>15.9</v>
      </c>
    </row>
    <row r="95" spans="1:22" x14ac:dyDescent="0.2">
      <c r="A95">
        <v>94</v>
      </c>
      <c r="B95" s="1">
        <v>45945</v>
      </c>
      <c r="C95" s="18" t="s">
        <v>6</v>
      </c>
      <c r="E95" s="18">
        <v>3.7</v>
      </c>
      <c r="S95">
        <v>94</v>
      </c>
      <c r="T95" s="1">
        <v>45791</v>
      </c>
      <c r="U95" t="s">
        <v>6</v>
      </c>
      <c r="V95">
        <v>15.9</v>
      </c>
    </row>
    <row r="96" spans="1:22" x14ac:dyDescent="0.2">
      <c r="A96">
        <v>95</v>
      </c>
      <c r="B96" s="1">
        <v>45945</v>
      </c>
      <c r="C96" s="18" t="s">
        <v>6</v>
      </c>
      <c r="E96" s="18">
        <v>9.4</v>
      </c>
      <c r="S96">
        <v>95</v>
      </c>
      <c r="T96" s="1">
        <v>45777</v>
      </c>
      <c r="U96" t="s">
        <v>6</v>
      </c>
      <c r="V96">
        <v>16.100000000000001</v>
      </c>
    </row>
    <row r="97" spans="1:22" x14ac:dyDescent="0.2">
      <c r="A97">
        <v>96</v>
      </c>
      <c r="B97" s="1">
        <v>45945</v>
      </c>
      <c r="C97" t="s">
        <v>6</v>
      </c>
      <c r="E97">
        <v>8.5</v>
      </c>
      <c r="S97">
        <v>96</v>
      </c>
      <c r="T97" s="1">
        <v>44944</v>
      </c>
      <c r="U97" t="s">
        <v>6</v>
      </c>
      <c r="V97">
        <v>16.600000000000001</v>
      </c>
    </row>
    <row r="98" spans="1:22" x14ac:dyDescent="0.2">
      <c r="A98">
        <v>97</v>
      </c>
      <c r="B98" s="1">
        <v>45959</v>
      </c>
      <c r="C98" t="s">
        <v>6</v>
      </c>
      <c r="E98">
        <v>13.3</v>
      </c>
      <c r="S98">
        <v>97</v>
      </c>
      <c r="T98" s="1">
        <v>45042</v>
      </c>
      <c r="U98" t="s">
        <v>6</v>
      </c>
      <c r="V98">
        <v>16.7</v>
      </c>
    </row>
    <row r="99" spans="1:22" x14ac:dyDescent="0.2">
      <c r="A99">
        <v>98</v>
      </c>
      <c r="B99" s="1">
        <v>45959</v>
      </c>
      <c r="C99" t="s">
        <v>6</v>
      </c>
      <c r="E99">
        <v>14.2</v>
      </c>
      <c r="S99">
        <v>98</v>
      </c>
      <c r="T99" s="1">
        <v>45609</v>
      </c>
      <c r="U99" t="s">
        <v>6</v>
      </c>
      <c r="V99">
        <v>16.7</v>
      </c>
    </row>
    <row r="100" spans="1:22" x14ac:dyDescent="0.2">
      <c r="A100">
        <v>99</v>
      </c>
      <c r="B100" s="1">
        <v>45973</v>
      </c>
      <c r="C100" t="s">
        <v>6</v>
      </c>
      <c r="E100">
        <v>13.2</v>
      </c>
      <c r="S100">
        <v>99</v>
      </c>
      <c r="T100" s="1">
        <v>44958</v>
      </c>
      <c r="U100" t="s">
        <v>6</v>
      </c>
      <c r="V100">
        <v>17.3</v>
      </c>
    </row>
    <row r="101" spans="1:22" x14ac:dyDescent="0.2">
      <c r="A101">
        <v>100</v>
      </c>
      <c r="B101" s="1">
        <v>45973</v>
      </c>
      <c r="C101" t="s">
        <v>6</v>
      </c>
      <c r="E101">
        <v>8.9</v>
      </c>
      <c r="S101">
        <v>100</v>
      </c>
      <c r="T101" s="1">
        <v>45210</v>
      </c>
      <c r="U101" t="s">
        <v>6</v>
      </c>
      <c r="V101">
        <v>17.3</v>
      </c>
    </row>
    <row r="102" spans="1:22" x14ac:dyDescent="0.2">
      <c r="A102">
        <v>101</v>
      </c>
      <c r="B102" s="1">
        <v>45973</v>
      </c>
      <c r="C102" t="s">
        <v>6</v>
      </c>
      <c r="E102">
        <v>12.3</v>
      </c>
      <c r="S102">
        <v>101</v>
      </c>
      <c r="T102" s="1">
        <v>46057</v>
      </c>
      <c r="U102" t="s">
        <v>6</v>
      </c>
      <c r="V102">
        <v>18.2</v>
      </c>
    </row>
    <row r="103" spans="1:22" x14ac:dyDescent="0.2">
      <c r="A103">
        <v>102</v>
      </c>
      <c r="B103" s="1">
        <v>45987</v>
      </c>
      <c r="C103" s="18" t="s">
        <v>6</v>
      </c>
      <c r="E103" s="18">
        <v>2.4</v>
      </c>
      <c r="S103">
        <v>102</v>
      </c>
      <c r="T103" s="1">
        <v>44944</v>
      </c>
      <c r="U103" t="s">
        <v>6</v>
      </c>
      <c r="V103">
        <v>18.5</v>
      </c>
    </row>
    <row r="104" spans="1:22" x14ac:dyDescent="0.2">
      <c r="A104">
        <v>103</v>
      </c>
      <c r="B104" s="1">
        <v>45987</v>
      </c>
      <c r="C104" t="s">
        <v>6</v>
      </c>
      <c r="E104">
        <v>8.1</v>
      </c>
      <c r="S104">
        <v>103</v>
      </c>
      <c r="T104" s="1">
        <v>45609</v>
      </c>
      <c r="U104" t="s">
        <v>6</v>
      </c>
      <c r="V104">
        <v>18.5</v>
      </c>
    </row>
    <row r="105" spans="1:22" x14ac:dyDescent="0.2">
      <c r="A105">
        <v>104</v>
      </c>
      <c r="B105" s="35">
        <v>45987</v>
      </c>
      <c r="C105" s="36" t="s">
        <v>6</v>
      </c>
      <c r="D105" s="36"/>
      <c r="E105" s="36">
        <v>12.6</v>
      </c>
      <c r="F105" s="36"/>
      <c r="G105" s="36"/>
      <c r="S105">
        <v>104</v>
      </c>
      <c r="T105" s="1">
        <v>45567</v>
      </c>
      <c r="U105" t="s">
        <v>155</v>
      </c>
      <c r="V105" s="18">
        <v>18.600000000000001</v>
      </c>
    </row>
    <row r="106" spans="1:22" x14ac:dyDescent="0.2">
      <c r="A106">
        <v>105</v>
      </c>
      <c r="B106" s="35">
        <v>45987</v>
      </c>
      <c r="C106" t="s">
        <v>568</v>
      </c>
      <c r="S106">
        <v>105</v>
      </c>
      <c r="T106" s="1">
        <v>44958</v>
      </c>
      <c r="U106" t="s">
        <v>6</v>
      </c>
      <c r="V106">
        <v>18.899999999999999</v>
      </c>
    </row>
    <row r="107" spans="1:22" x14ac:dyDescent="0.2">
      <c r="A107">
        <v>106</v>
      </c>
      <c r="B107" s="35">
        <v>45987</v>
      </c>
      <c r="C107" s="18" t="s">
        <v>6</v>
      </c>
      <c r="E107" s="18">
        <v>15.4</v>
      </c>
      <c r="S107">
        <v>106</v>
      </c>
      <c r="T107" s="1">
        <v>46113</v>
      </c>
      <c r="U107" t="s">
        <v>6</v>
      </c>
      <c r="V107">
        <v>19.2</v>
      </c>
    </row>
    <row r="108" spans="1:22" x14ac:dyDescent="0.2">
      <c r="A108">
        <v>107</v>
      </c>
      <c r="B108" s="1">
        <v>46194</v>
      </c>
      <c r="C108" t="s">
        <v>6</v>
      </c>
      <c r="E108">
        <v>10.8</v>
      </c>
      <c r="S108">
        <v>107</v>
      </c>
      <c r="T108" s="1">
        <v>44909</v>
      </c>
      <c r="U108" t="s">
        <v>6</v>
      </c>
      <c r="V108">
        <v>19.8</v>
      </c>
    </row>
    <row r="109" spans="1:22" x14ac:dyDescent="0.2">
      <c r="A109">
        <v>108</v>
      </c>
      <c r="B109" s="1">
        <v>46043</v>
      </c>
      <c r="C109" t="s">
        <v>6</v>
      </c>
      <c r="E109" s="20">
        <v>8.9</v>
      </c>
      <c r="S109">
        <v>108</v>
      </c>
      <c r="T109" s="1">
        <v>45210</v>
      </c>
      <c r="U109" t="s">
        <v>6</v>
      </c>
      <c r="V109">
        <v>20</v>
      </c>
    </row>
    <row r="110" spans="1:22" x14ac:dyDescent="0.2">
      <c r="A110">
        <v>109</v>
      </c>
      <c r="B110" s="1">
        <v>46057</v>
      </c>
      <c r="C110" t="s">
        <v>6</v>
      </c>
      <c r="E110">
        <v>18.2</v>
      </c>
      <c r="S110">
        <v>109</v>
      </c>
      <c r="T110" s="1">
        <v>44916</v>
      </c>
      <c r="U110" t="s">
        <v>6</v>
      </c>
      <c r="V110">
        <v>21</v>
      </c>
    </row>
    <row r="111" spans="1:22" x14ac:dyDescent="0.2">
      <c r="A111">
        <v>110</v>
      </c>
      <c r="B111" s="1">
        <v>46057</v>
      </c>
      <c r="C111" t="s">
        <v>6</v>
      </c>
      <c r="E111">
        <v>11</v>
      </c>
      <c r="S111">
        <v>110</v>
      </c>
      <c r="T111" s="1">
        <v>44958</v>
      </c>
      <c r="U111" t="s">
        <v>6</v>
      </c>
      <c r="V111">
        <v>21.7</v>
      </c>
    </row>
    <row r="112" spans="1:22" x14ac:dyDescent="0.2">
      <c r="A112">
        <v>111</v>
      </c>
      <c r="B112" s="1">
        <v>46085</v>
      </c>
      <c r="C112" t="s">
        <v>6</v>
      </c>
      <c r="E112">
        <v>12.5</v>
      </c>
      <c r="S112">
        <v>111</v>
      </c>
      <c r="T112" s="1">
        <v>44916</v>
      </c>
      <c r="U112" t="s">
        <v>6</v>
      </c>
      <c r="V112">
        <v>21.8</v>
      </c>
    </row>
    <row r="113" spans="1:22" x14ac:dyDescent="0.2">
      <c r="A113">
        <v>112</v>
      </c>
      <c r="B113" s="1">
        <v>46099</v>
      </c>
      <c r="C113" t="s">
        <v>6</v>
      </c>
      <c r="E113">
        <v>11</v>
      </c>
      <c r="S113">
        <v>112</v>
      </c>
      <c r="T113" s="1">
        <v>45609</v>
      </c>
      <c r="U113" t="s">
        <v>6</v>
      </c>
      <c r="V113">
        <v>41.2</v>
      </c>
    </row>
    <row r="114" spans="1:22" x14ac:dyDescent="0.2">
      <c r="A114">
        <v>113</v>
      </c>
      <c r="B114" s="1">
        <v>46113</v>
      </c>
      <c r="C114" t="s">
        <v>6</v>
      </c>
      <c r="E114">
        <v>19.2</v>
      </c>
    </row>
    <row r="115" spans="1:22" x14ac:dyDescent="0.2">
      <c r="A115">
        <v>114</v>
      </c>
      <c r="B115" s="1">
        <v>46113</v>
      </c>
      <c r="C115" t="s">
        <v>6</v>
      </c>
      <c r="E115">
        <v>13.1</v>
      </c>
    </row>
    <row r="116" spans="1:22" x14ac:dyDescent="0.2">
      <c r="A116">
        <v>115</v>
      </c>
      <c r="B116" s="1">
        <v>46113</v>
      </c>
      <c r="C116" s="18" t="s">
        <v>6</v>
      </c>
      <c r="E116" s="18">
        <v>14.1</v>
      </c>
    </row>
  </sheetData>
  <autoFilter ref="T1:V97" xr:uid="{56E8A32B-385C-0E4A-A195-82C0E9599C91}">
    <sortState xmlns:xlrd2="http://schemas.microsoft.com/office/spreadsheetml/2017/richdata2" ref="T2:V97">
      <sortCondition ref="V2:V97"/>
    </sortState>
  </autoFilter>
  <sortState xmlns:xlrd2="http://schemas.microsoft.com/office/spreadsheetml/2017/richdata2" ref="T2:V113">
    <sortCondition ref="V2:V113"/>
  </sortState>
  <phoneticPr fontId="3" type="noConversion"/>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9F82-F591-104F-8E75-670B5D068D62}">
  <sheetPr codeName="Feuil6"/>
  <dimension ref="A1:AT203"/>
  <sheetViews>
    <sheetView topLeftCell="L49" zoomScale="118" workbookViewId="0">
      <selection activeCell="AB99" sqref="AB99"/>
    </sheetView>
  </sheetViews>
  <sheetFormatPr baseColWidth="10" defaultRowHeight="16" x14ac:dyDescent="0.2"/>
  <cols>
    <col min="7" max="7" width="18.6640625" bestFit="1" customWidth="1"/>
    <col min="11" max="11" width="13.5" bestFit="1" customWidth="1"/>
    <col min="12" max="12" width="13.5" customWidth="1"/>
    <col min="27" max="27" width="18.6640625" bestFit="1" customWidth="1"/>
    <col min="29" max="29" width="18.1640625" bestFit="1" customWidth="1"/>
  </cols>
  <sheetData>
    <row r="1" spans="1:46" ht="17" thickBot="1" x14ac:dyDescent="0.25">
      <c r="A1" s="2" t="s">
        <v>0</v>
      </c>
      <c r="B1" s="3" t="s">
        <v>4</v>
      </c>
      <c r="C1" s="3" t="s">
        <v>1</v>
      </c>
      <c r="D1" s="3" t="s">
        <v>2</v>
      </c>
      <c r="E1" s="3" t="s">
        <v>3</v>
      </c>
      <c r="F1" s="3" t="s">
        <v>13</v>
      </c>
      <c r="G1" s="4" t="s">
        <v>14</v>
      </c>
      <c r="U1" s="2" t="s">
        <v>0</v>
      </c>
      <c r="V1" s="3" t="s">
        <v>4</v>
      </c>
      <c r="W1" s="3" t="s">
        <v>1</v>
      </c>
      <c r="X1" s="3" t="s">
        <v>2</v>
      </c>
      <c r="Y1" s="3" t="s">
        <v>3</v>
      </c>
      <c r="Z1" s="3" t="s">
        <v>13</v>
      </c>
      <c r="AA1" s="4" t="s">
        <v>14</v>
      </c>
      <c r="AC1" s="2" t="s">
        <v>0</v>
      </c>
      <c r="AD1" s="3" t="s">
        <v>4</v>
      </c>
      <c r="AE1" s="3" t="s">
        <v>1</v>
      </c>
      <c r="AF1" s="3" t="s">
        <v>2</v>
      </c>
      <c r="AG1" s="3" t="s">
        <v>3</v>
      </c>
      <c r="AH1" s="3" t="s">
        <v>13</v>
      </c>
      <c r="AI1" s="4" t="s">
        <v>14</v>
      </c>
      <c r="AQ1" t="s">
        <v>31</v>
      </c>
      <c r="AT1" t="s">
        <v>31</v>
      </c>
    </row>
    <row r="2" spans="1:46" x14ac:dyDescent="0.2">
      <c r="A2" s="5">
        <v>1</v>
      </c>
      <c r="B2" s="6">
        <v>44872</v>
      </c>
      <c r="C2" s="7" t="s">
        <v>6</v>
      </c>
      <c r="D2" s="7">
        <v>15.2</v>
      </c>
      <c r="E2" s="7">
        <v>13.8</v>
      </c>
      <c r="F2" s="7"/>
      <c r="G2" s="8" t="s">
        <v>38</v>
      </c>
      <c r="J2" s="15" t="s">
        <v>4</v>
      </c>
      <c r="K2" s="59" t="s">
        <v>25</v>
      </c>
      <c r="L2" s="60"/>
      <c r="M2" s="59" t="s">
        <v>22</v>
      </c>
      <c r="N2" s="60"/>
      <c r="O2" s="59" t="s">
        <v>23</v>
      </c>
      <c r="P2" s="60"/>
      <c r="Q2" s="59" t="s">
        <v>24</v>
      </c>
      <c r="R2" s="60"/>
      <c r="S2" s="15" t="s">
        <v>169</v>
      </c>
      <c r="U2">
        <v>1</v>
      </c>
      <c r="V2" s="1">
        <v>44872</v>
      </c>
      <c r="W2" t="s">
        <v>7</v>
      </c>
      <c r="X2">
        <v>58.3</v>
      </c>
      <c r="Y2">
        <v>52</v>
      </c>
      <c r="AA2" t="s">
        <v>37</v>
      </c>
      <c r="AC2">
        <v>1</v>
      </c>
      <c r="AD2" s="1">
        <v>44872</v>
      </c>
      <c r="AE2" t="s">
        <v>6</v>
      </c>
      <c r="AF2">
        <v>15.2</v>
      </c>
      <c r="AG2">
        <v>13.8</v>
      </c>
      <c r="AI2" t="s">
        <v>38</v>
      </c>
      <c r="AM2" t="s">
        <v>37</v>
      </c>
      <c r="AN2">
        <f>COUNTIF(AA2:AA100,AM2)</f>
        <v>78</v>
      </c>
      <c r="AP2" t="s">
        <v>27</v>
      </c>
      <c r="AQ2">
        <f>MIN(X2:X100)</f>
        <v>26.3</v>
      </c>
      <c r="AS2" t="s">
        <v>10</v>
      </c>
      <c r="AT2">
        <f>AQ2</f>
        <v>26.3</v>
      </c>
    </row>
    <row r="3" spans="1:46" ht="17" thickBot="1" x14ac:dyDescent="0.25">
      <c r="A3" s="11">
        <v>2</v>
      </c>
      <c r="B3" s="12">
        <v>44872</v>
      </c>
      <c r="C3" s="13" t="s">
        <v>7</v>
      </c>
      <c r="D3" s="13">
        <v>58.3</v>
      </c>
      <c r="E3" s="13">
        <v>52</v>
      </c>
      <c r="F3" s="13"/>
      <c r="G3" s="14" t="s">
        <v>37</v>
      </c>
      <c r="J3" s="15"/>
      <c r="K3" s="15" t="s">
        <v>43</v>
      </c>
      <c r="L3" s="15" t="s">
        <v>44</v>
      </c>
      <c r="M3" s="15" t="s">
        <v>43</v>
      </c>
      <c r="N3" s="15" t="s">
        <v>44</v>
      </c>
      <c r="O3" s="15" t="s">
        <v>43</v>
      </c>
      <c r="P3" s="15" t="s">
        <v>44</v>
      </c>
      <c r="Q3" s="15" t="s">
        <v>43</v>
      </c>
      <c r="R3" s="15" t="s">
        <v>44</v>
      </c>
      <c r="S3" s="15"/>
      <c r="U3">
        <v>2</v>
      </c>
      <c r="V3" s="1">
        <v>44937</v>
      </c>
      <c r="W3" t="s">
        <v>7</v>
      </c>
      <c r="X3">
        <v>57.1</v>
      </c>
      <c r="Y3">
        <v>51</v>
      </c>
      <c r="AA3" t="s">
        <v>18</v>
      </c>
      <c r="AC3">
        <v>2</v>
      </c>
      <c r="AD3" s="1">
        <v>44909</v>
      </c>
      <c r="AE3" t="s">
        <v>6</v>
      </c>
      <c r="AF3">
        <v>21.8</v>
      </c>
      <c r="AG3">
        <v>19.8</v>
      </c>
      <c r="AI3" t="s">
        <v>38</v>
      </c>
      <c r="AM3" t="s">
        <v>18</v>
      </c>
      <c r="AN3">
        <f>COUNTIF(AA2:AA100,AM3)</f>
        <v>21</v>
      </c>
      <c r="AP3" t="s">
        <v>28</v>
      </c>
      <c r="AQ3">
        <f>_xlfn.QUARTILE.INC(X2:X100,1)</f>
        <v>57.400000000000006</v>
      </c>
      <c r="AS3" t="s">
        <v>33</v>
      </c>
      <c r="AT3">
        <f>AQ3-AQ2</f>
        <v>31.100000000000005</v>
      </c>
    </row>
    <row r="4" spans="1:46" ht="17" thickBot="1" x14ac:dyDescent="0.25">
      <c r="A4" s="11">
        <v>3</v>
      </c>
      <c r="B4" s="12">
        <v>44909</v>
      </c>
      <c r="C4" s="13" t="s">
        <v>6</v>
      </c>
      <c r="D4" s="13">
        <v>21.8</v>
      </c>
      <c r="E4" s="13">
        <v>19.8</v>
      </c>
      <c r="F4" s="13"/>
      <c r="G4" s="14" t="s">
        <v>38</v>
      </c>
      <c r="J4" s="16">
        <v>44872</v>
      </c>
      <c r="K4" s="17">
        <v>6</v>
      </c>
      <c r="L4" s="17">
        <v>2</v>
      </c>
      <c r="M4" s="17">
        <v>1</v>
      </c>
      <c r="N4" s="17">
        <v>1</v>
      </c>
      <c r="O4" s="17">
        <v>4</v>
      </c>
      <c r="P4" s="17">
        <v>1</v>
      </c>
      <c r="Q4" s="17">
        <v>1</v>
      </c>
      <c r="R4" s="17">
        <v>0</v>
      </c>
      <c r="S4" s="15">
        <v>0</v>
      </c>
      <c r="U4">
        <v>3</v>
      </c>
      <c r="V4" s="1">
        <v>44937</v>
      </c>
      <c r="W4" t="s">
        <v>7</v>
      </c>
      <c r="X4">
        <v>57.9</v>
      </c>
      <c r="Y4">
        <v>51.7</v>
      </c>
      <c r="AA4" t="s">
        <v>18</v>
      </c>
      <c r="AC4">
        <v>3</v>
      </c>
      <c r="AD4" s="1">
        <v>44916</v>
      </c>
      <c r="AE4" t="s">
        <v>6</v>
      </c>
      <c r="AF4">
        <v>24</v>
      </c>
      <c r="AG4">
        <v>21.8</v>
      </c>
      <c r="AI4" t="s">
        <v>38</v>
      </c>
      <c r="AP4" t="s">
        <v>29</v>
      </c>
      <c r="AQ4">
        <f>_xlfn.QUARTILE.INC(X2:X100,2)</f>
        <v>66.099999999999994</v>
      </c>
      <c r="AS4" t="s">
        <v>34</v>
      </c>
      <c r="AT4">
        <f>AQ4-AQ3</f>
        <v>8.6999999999999886</v>
      </c>
    </row>
    <row r="5" spans="1:46" x14ac:dyDescent="0.2">
      <c r="A5" s="5">
        <v>4</v>
      </c>
      <c r="B5" s="6">
        <v>44916</v>
      </c>
      <c r="C5" s="7" t="s">
        <v>6</v>
      </c>
      <c r="D5" s="7">
        <v>24</v>
      </c>
      <c r="E5" s="7">
        <v>21.8</v>
      </c>
      <c r="F5" s="7"/>
      <c r="G5" s="8" t="s">
        <v>38</v>
      </c>
      <c r="J5" s="16">
        <v>44909</v>
      </c>
      <c r="K5" s="17">
        <v>6</v>
      </c>
      <c r="L5" s="17">
        <v>1</v>
      </c>
      <c r="M5" s="17">
        <v>1</v>
      </c>
      <c r="N5" s="17">
        <v>1</v>
      </c>
      <c r="O5" s="17">
        <v>4</v>
      </c>
      <c r="P5" s="17">
        <v>0</v>
      </c>
      <c r="Q5" s="17">
        <v>1</v>
      </c>
      <c r="R5" s="17">
        <v>0</v>
      </c>
      <c r="S5" s="15">
        <v>0</v>
      </c>
      <c r="U5">
        <v>4</v>
      </c>
      <c r="V5" s="1">
        <v>44944</v>
      </c>
      <c r="W5" t="s">
        <v>7</v>
      </c>
      <c r="X5">
        <v>40.6</v>
      </c>
      <c r="Y5">
        <v>36.200000000000003</v>
      </c>
      <c r="AA5" t="s">
        <v>37</v>
      </c>
      <c r="AC5">
        <v>4</v>
      </c>
      <c r="AD5" s="1">
        <v>44916</v>
      </c>
      <c r="AE5" t="s">
        <v>6</v>
      </c>
      <c r="AF5">
        <v>23.1</v>
      </c>
      <c r="AG5">
        <v>21</v>
      </c>
      <c r="AI5" t="s">
        <v>38</v>
      </c>
      <c r="AP5" t="s">
        <v>30</v>
      </c>
      <c r="AQ5">
        <f>_xlfn.QUARTILE.INC(X2:X100,3)</f>
        <v>69.650000000000006</v>
      </c>
      <c r="AS5" t="s">
        <v>35</v>
      </c>
      <c r="AT5">
        <f>AQ5-AQ4</f>
        <v>3.5500000000000114</v>
      </c>
    </row>
    <row r="6" spans="1:46" ht="17" thickBot="1" x14ac:dyDescent="0.25">
      <c r="A6" s="11">
        <v>5</v>
      </c>
      <c r="B6" s="12">
        <v>44916</v>
      </c>
      <c r="C6" s="13" t="s">
        <v>6</v>
      </c>
      <c r="D6" s="13">
        <v>23.1</v>
      </c>
      <c r="E6" s="13">
        <v>21</v>
      </c>
      <c r="F6" s="13"/>
      <c r="G6" s="14" t="s">
        <v>38</v>
      </c>
      <c r="J6" s="16">
        <v>44916</v>
      </c>
      <c r="K6" s="17">
        <v>9</v>
      </c>
      <c r="L6" s="17">
        <v>2</v>
      </c>
      <c r="M6" s="17">
        <v>2</v>
      </c>
      <c r="N6" s="17">
        <v>2</v>
      </c>
      <c r="O6" s="17">
        <v>5</v>
      </c>
      <c r="P6" s="17">
        <v>0</v>
      </c>
      <c r="Q6" s="17">
        <v>2</v>
      </c>
      <c r="R6" s="17">
        <v>0</v>
      </c>
      <c r="S6" s="15">
        <v>0</v>
      </c>
      <c r="U6">
        <v>5</v>
      </c>
      <c r="V6" s="1">
        <v>44953</v>
      </c>
      <c r="W6" t="s">
        <v>7</v>
      </c>
      <c r="X6">
        <v>58.1</v>
      </c>
      <c r="Y6">
        <v>51.9</v>
      </c>
      <c r="Z6">
        <v>0.22</v>
      </c>
      <c r="AA6" t="s">
        <v>37</v>
      </c>
      <c r="AC6">
        <v>5</v>
      </c>
      <c r="AD6" s="1">
        <v>44937</v>
      </c>
      <c r="AE6" t="s">
        <v>6</v>
      </c>
      <c r="AF6">
        <v>13.2</v>
      </c>
      <c r="AG6">
        <v>12</v>
      </c>
      <c r="AI6" t="s">
        <v>15</v>
      </c>
      <c r="AP6" t="s">
        <v>9</v>
      </c>
      <c r="AQ6">
        <f>MAX(X2:X100)</f>
        <v>80.3</v>
      </c>
      <c r="AS6" t="s">
        <v>36</v>
      </c>
      <c r="AT6">
        <f>AQ6-AQ5</f>
        <v>10.649999999999991</v>
      </c>
    </row>
    <row r="7" spans="1:46" x14ac:dyDescent="0.2">
      <c r="A7" s="9">
        <v>6</v>
      </c>
      <c r="B7" s="1">
        <v>44937</v>
      </c>
      <c r="C7" t="s">
        <v>6</v>
      </c>
      <c r="D7">
        <v>13.2</v>
      </c>
      <c r="E7">
        <v>12</v>
      </c>
      <c r="G7" s="10" t="s">
        <v>15</v>
      </c>
      <c r="J7" s="16">
        <v>44937</v>
      </c>
      <c r="K7" s="17">
        <v>10</v>
      </c>
      <c r="L7" s="17">
        <v>4</v>
      </c>
      <c r="M7" s="17">
        <v>2</v>
      </c>
      <c r="N7" s="17">
        <v>2</v>
      </c>
      <c r="O7" s="17">
        <v>7</v>
      </c>
      <c r="P7" s="17">
        <v>2</v>
      </c>
      <c r="Q7" s="17">
        <v>1</v>
      </c>
      <c r="R7" s="17">
        <v>0</v>
      </c>
      <c r="S7" s="15">
        <v>0</v>
      </c>
      <c r="U7">
        <v>6</v>
      </c>
      <c r="V7" s="1">
        <v>44953</v>
      </c>
      <c r="W7" t="s">
        <v>7</v>
      </c>
      <c r="X7">
        <v>39.799999999999997</v>
      </c>
      <c r="Y7">
        <v>35.5</v>
      </c>
      <c r="Z7">
        <v>0.15</v>
      </c>
      <c r="AA7" t="s">
        <v>18</v>
      </c>
      <c r="AC7">
        <v>6</v>
      </c>
      <c r="AD7" s="1">
        <v>44937</v>
      </c>
      <c r="AE7" t="s">
        <v>6</v>
      </c>
      <c r="AF7">
        <v>13.1</v>
      </c>
      <c r="AG7">
        <v>11.9</v>
      </c>
      <c r="AI7" t="s">
        <v>15</v>
      </c>
      <c r="AP7" t="s">
        <v>142</v>
      </c>
      <c r="AQ7" s="20">
        <f>AVERAGE(X2:X100)</f>
        <v>62.989898989898968</v>
      </c>
    </row>
    <row r="8" spans="1:46" x14ac:dyDescent="0.2">
      <c r="A8" s="9">
        <v>7</v>
      </c>
      <c r="B8" s="1">
        <v>44937</v>
      </c>
      <c r="C8" t="s">
        <v>6</v>
      </c>
      <c r="D8">
        <v>13.1</v>
      </c>
      <c r="E8">
        <v>11.9</v>
      </c>
      <c r="G8" s="10" t="s">
        <v>15</v>
      </c>
      <c r="J8" s="16">
        <v>44944</v>
      </c>
      <c r="K8" s="17">
        <v>6</v>
      </c>
      <c r="L8" s="17">
        <v>4</v>
      </c>
      <c r="M8" s="17">
        <v>3</v>
      </c>
      <c r="N8" s="17">
        <v>3</v>
      </c>
      <c r="O8" s="17">
        <v>3</v>
      </c>
      <c r="P8" s="17">
        <v>1</v>
      </c>
      <c r="Q8" s="17">
        <v>0</v>
      </c>
      <c r="R8" s="17">
        <v>0</v>
      </c>
      <c r="S8" s="15">
        <v>0</v>
      </c>
      <c r="U8">
        <v>7</v>
      </c>
      <c r="V8" s="1">
        <v>44958</v>
      </c>
      <c r="W8" t="s">
        <v>7</v>
      </c>
      <c r="X8">
        <v>68.7</v>
      </c>
      <c r="Y8">
        <v>61.3</v>
      </c>
      <c r="AA8" t="s">
        <v>18</v>
      </c>
      <c r="AC8">
        <v>7</v>
      </c>
      <c r="AD8" s="1">
        <v>44944</v>
      </c>
      <c r="AE8" t="s">
        <v>6</v>
      </c>
      <c r="AF8">
        <v>14.2</v>
      </c>
      <c r="AG8">
        <v>12.9</v>
      </c>
      <c r="AI8" t="s">
        <v>38</v>
      </c>
    </row>
    <row r="9" spans="1:46" x14ac:dyDescent="0.2">
      <c r="A9" s="9">
        <v>8</v>
      </c>
      <c r="B9" s="1">
        <v>44937</v>
      </c>
      <c r="C9" t="s">
        <v>7</v>
      </c>
      <c r="D9">
        <v>57.1</v>
      </c>
      <c r="E9">
        <v>51</v>
      </c>
      <c r="G9" s="10" t="s">
        <v>18</v>
      </c>
      <c r="J9" s="16">
        <v>44953</v>
      </c>
      <c r="K9" s="17">
        <v>5</v>
      </c>
      <c r="L9" s="17">
        <v>2</v>
      </c>
      <c r="M9" s="17">
        <v>0</v>
      </c>
      <c r="N9" s="17">
        <v>0</v>
      </c>
      <c r="O9" s="17">
        <v>5</v>
      </c>
      <c r="P9" s="17">
        <v>2</v>
      </c>
      <c r="Q9" s="17">
        <v>0</v>
      </c>
      <c r="R9" s="17">
        <v>0</v>
      </c>
      <c r="S9" s="15">
        <v>0</v>
      </c>
      <c r="U9">
        <v>8</v>
      </c>
      <c r="V9" s="1">
        <v>44958</v>
      </c>
      <c r="W9" t="s">
        <v>7</v>
      </c>
      <c r="X9">
        <v>45.7</v>
      </c>
      <c r="Y9">
        <v>40.799999999999997</v>
      </c>
      <c r="AA9" t="s">
        <v>18</v>
      </c>
      <c r="AC9">
        <v>8</v>
      </c>
      <c r="AD9" s="1">
        <v>44944</v>
      </c>
      <c r="AE9" t="s">
        <v>6</v>
      </c>
      <c r="AF9">
        <v>20.3</v>
      </c>
      <c r="AG9">
        <v>18.5</v>
      </c>
      <c r="AI9" t="s">
        <v>38</v>
      </c>
    </row>
    <row r="10" spans="1:46" ht="17" thickBot="1" x14ac:dyDescent="0.25">
      <c r="A10" s="9">
        <v>9</v>
      </c>
      <c r="B10" s="1">
        <v>44937</v>
      </c>
      <c r="C10" t="s">
        <v>7</v>
      </c>
      <c r="D10">
        <v>57.9</v>
      </c>
      <c r="E10">
        <v>51.7</v>
      </c>
      <c r="G10" s="10" t="s">
        <v>18</v>
      </c>
      <c r="J10" s="16">
        <v>44958</v>
      </c>
      <c r="K10" s="17">
        <v>12</v>
      </c>
      <c r="L10" s="17">
        <v>5</v>
      </c>
      <c r="M10" s="17">
        <v>3</v>
      </c>
      <c r="N10" s="17">
        <v>3</v>
      </c>
      <c r="O10" s="17">
        <v>8</v>
      </c>
      <c r="P10" s="17">
        <v>2</v>
      </c>
      <c r="Q10" s="17">
        <v>1</v>
      </c>
      <c r="R10" s="17">
        <v>0</v>
      </c>
      <c r="S10" s="15">
        <v>0</v>
      </c>
      <c r="U10">
        <v>9</v>
      </c>
      <c r="V10" s="1">
        <v>44979</v>
      </c>
      <c r="W10" t="s">
        <v>7</v>
      </c>
      <c r="X10">
        <v>71.8</v>
      </c>
      <c r="Y10">
        <v>64.099999999999994</v>
      </c>
      <c r="Z10">
        <v>0.16</v>
      </c>
      <c r="AA10" t="s">
        <v>37</v>
      </c>
      <c r="AC10">
        <v>9</v>
      </c>
      <c r="AD10" s="1">
        <v>44944</v>
      </c>
      <c r="AE10" t="s">
        <v>6</v>
      </c>
      <c r="AF10">
        <v>18.2</v>
      </c>
      <c r="AG10">
        <v>16.600000000000001</v>
      </c>
      <c r="AI10" t="s">
        <v>38</v>
      </c>
    </row>
    <row r="11" spans="1:46" x14ac:dyDescent="0.2">
      <c r="A11" s="5">
        <v>10</v>
      </c>
      <c r="B11" s="6">
        <v>44944</v>
      </c>
      <c r="C11" s="7" t="s">
        <v>6</v>
      </c>
      <c r="D11" s="7">
        <v>14.2</v>
      </c>
      <c r="E11" s="7">
        <v>12.9</v>
      </c>
      <c r="F11" s="7"/>
      <c r="G11" s="8" t="s">
        <v>38</v>
      </c>
      <c r="J11" s="16">
        <v>44979</v>
      </c>
      <c r="K11" s="17">
        <v>8</v>
      </c>
      <c r="L11" s="17">
        <v>3</v>
      </c>
      <c r="M11" s="17">
        <v>0</v>
      </c>
      <c r="N11" s="17">
        <v>0</v>
      </c>
      <c r="O11" s="17">
        <v>6</v>
      </c>
      <c r="P11" s="17">
        <v>3</v>
      </c>
      <c r="Q11" s="17">
        <v>2</v>
      </c>
      <c r="R11" s="17">
        <v>0</v>
      </c>
      <c r="S11" s="15">
        <v>0</v>
      </c>
      <c r="U11">
        <v>10</v>
      </c>
      <c r="V11" s="1">
        <v>44979</v>
      </c>
      <c r="W11" t="s">
        <v>7</v>
      </c>
      <c r="X11">
        <v>60.2</v>
      </c>
      <c r="Y11">
        <v>53.7</v>
      </c>
      <c r="Z11">
        <v>0.25</v>
      </c>
      <c r="AA11" t="s">
        <v>18</v>
      </c>
      <c r="AC11">
        <v>10</v>
      </c>
      <c r="AD11" s="1">
        <v>44958</v>
      </c>
      <c r="AE11" t="s">
        <v>6</v>
      </c>
      <c r="AF11">
        <v>23.8</v>
      </c>
      <c r="AG11">
        <v>21.7</v>
      </c>
      <c r="AI11" t="s">
        <v>15</v>
      </c>
    </row>
    <row r="12" spans="1:46" x14ac:dyDescent="0.2">
      <c r="A12" s="9">
        <v>11</v>
      </c>
      <c r="B12" s="1">
        <v>44944</v>
      </c>
      <c r="C12" t="s">
        <v>7</v>
      </c>
      <c r="D12">
        <v>40.6</v>
      </c>
      <c r="E12">
        <v>36.200000000000003</v>
      </c>
      <c r="G12" s="10" t="s">
        <v>37</v>
      </c>
      <c r="J12" s="16">
        <v>45014</v>
      </c>
      <c r="K12" s="17">
        <v>6</v>
      </c>
      <c r="L12" s="17">
        <v>3</v>
      </c>
      <c r="M12" s="17">
        <v>0</v>
      </c>
      <c r="N12" s="17">
        <v>0</v>
      </c>
      <c r="O12" s="17">
        <v>5</v>
      </c>
      <c r="P12" s="17">
        <v>3</v>
      </c>
      <c r="Q12" s="17">
        <v>1</v>
      </c>
      <c r="R12" s="17">
        <v>0</v>
      </c>
      <c r="S12" s="15">
        <v>0</v>
      </c>
      <c r="U12">
        <v>11</v>
      </c>
      <c r="V12" s="1">
        <v>44979</v>
      </c>
      <c r="W12" t="s">
        <v>7</v>
      </c>
      <c r="X12">
        <v>61.3</v>
      </c>
      <c r="Y12">
        <v>54.7</v>
      </c>
      <c r="Z12">
        <v>0.25</v>
      </c>
      <c r="AA12" t="s">
        <v>18</v>
      </c>
      <c r="AC12">
        <v>11</v>
      </c>
      <c r="AD12" s="1">
        <v>44958</v>
      </c>
      <c r="AE12" t="s">
        <v>6</v>
      </c>
      <c r="AF12">
        <v>19</v>
      </c>
      <c r="AG12">
        <v>17.3</v>
      </c>
      <c r="AI12" t="s">
        <v>15</v>
      </c>
    </row>
    <row r="13" spans="1:46" x14ac:dyDescent="0.2">
      <c r="A13" s="9">
        <v>12</v>
      </c>
      <c r="B13" s="1">
        <v>44944</v>
      </c>
      <c r="C13" t="s">
        <v>6</v>
      </c>
      <c r="D13">
        <v>20.3</v>
      </c>
      <c r="E13">
        <v>18.5</v>
      </c>
      <c r="G13" s="10" t="s">
        <v>38</v>
      </c>
      <c r="J13" s="16">
        <v>45042</v>
      </c>
      <c r="K13" s="17">
        <v>14</v>
      </c>
      <c r="L13" s="17">
        <v>4</v>
      </c>
      <c r="M13" s="17">
        <v>2</v>
      </c>
      <c r="N13" s="17">
        <v>2</v>
      </c>
      <c r="O13" s="17">
        <v>8</v>
      </c>
      <c r="P13" s="17">
        <v>2</v>
      </c>
      <c r="Q13" s="17">
        <v>4</v>
      </c>
      <c r="R13" s="17">
        <v>0</v>
      </c>
      <c r="S13" s="15">
        <v>0</v>
      </c>
      <c r="U13">
        <v>12</v>
      </c>
      <c r="V13" s="1">
        <v>45014</v>
      </c>
      <c r="W13" t="s">
        <v>7</v>
      </c>
      <c r="X13">
        <v>77.7</v>
      </c>
      <c r="Y13">
        <v>69.400000000000006</v>
      </c>
      <c r="AA13" t="s">
        <v>18</v>
      </c>
      <c r="AC13">
        <v>12</v>
      </c>
      <c r="AD13" s="1">
        <v>44958</v>
      </c>
      <c r="AE13" t="s">
        <v>6</v>
      </c>
      <c r="AF13">
        <v>20.8</v>
      </c>
      <c r="AG13">
        <v>18.899999999999999</v>
      </c>
      <c r="AI13" t="s">
        <v>15</v>
      </c>
      <c r="AM13" t="s">
        <v>38</v>
      </c>
      <c r="AN13">
        <f>COUNTIF(AI2:AI100,AM13)</f>
        <v>67</v>
      </c>
      <c r="AQ13" t="s">
        <v>6</v>
      </c>
      <c r="AT13" t="s">
        <v>6</v>
      </c>
    </row>
    <row r="14" spans="1:46" ht="17" thickBot="1" x14ac:dyDescent="0.25">
      <c r="A14" s="11">
        <v>13</v>
      </c>
      <c r="B14" s="12">
        <v>44944</v>
      </c>
      <c r="C14" s="13" t="s">
        <v>6</v>
      </c>
      <c r="D14" s="13">
        <v>18.2</v>
      </c>
      <c r="E14" s="13">
        <v>16.600000000000001</v>
      </c>
      <c r="F14" s="13"/>
      <c r="G14" s="14" t="s">
        <v>38</v>
      </c>
      <c r="J14" s="16">
        <v>45070</v>
      </c>
      <c r="K14" s="17">
        <v>12</v>
      </c>
      <c r="L14" s="17">
        <v>2</v>
      </c>
      <c r="M14" s="17">
        <v>0</v>
      </c>
      <c r="N14" s="17">
        <v>0</v>
      </c>
      <c r="O14" s="17">
        <v>10</v>
      </c>
      <c r="P14" s="17">
        <v>2</v>
      </c>
      <c r="Q14" s="17">
        <v>2</v>
      </c>
      <c r="R14" s="17">
        <v>0</v>
      </c>
      <c r="S14" s="17">
        <v>1</v>
      </c>
      <c r="U14">
        <v>13</v>
      </c>
      <c r="V14" s="1">
        <v>45014</v>
      </c>
      <c r="W14" t="s">
        <v>7</v>
      </c>
      <c r="X14">
        <v>80.3</v>
      </c>
      <c r="Y14">
        <v>71.7</v>
      </c>
      <c r="AA14" t="s">
        <v>37</v>
      </c>
      <c r="AC14">
        <v>13</v>
      </c>
      <c r="AD14" s="1">
        <v>45042</v>
      </c>
      <c r="AE14" t="s">
        <v>6</v>
      </c>
      <c r="AF14">
        <v>18.3</v>
      </c>
      <c r="AG14">
        <v>16.7</v>
      </c>
      <c r="AH14">
        <v>0.22</v>
      </c>
      <c r="AI14" t="s">
        <v>15</v>
      </c>
      <c r="AM14" t="s">
        <v>15</v>
      </c>
      <c r="AN14">
        <f>COUNTIF(AI2:AI100,AM14)</f>
        <v>19</v>
      </c>
      <c r="AP14" t="s">
        <v>27</v>
      </c>
      <c r="AQ14">
        <f>MIN(AG2:AG100)</f>
        <v>3.7</v>
      </c>
      <c r="AS14" t="s">
        <v>10</v>
      </c>
      <c r="AT14">
        <f>AQ14</f>
        <v>3.7</v>
      </c>
    </row>
    <row r="15" spans="1:46" x14ac:dyDescent="0.2">
      <c r="A15" s="5">
        <v>14</v>
      </c>
      <c r="B15" s="6">
        <v>44953</v>
      </c>
      <c r="C15" s="7" t="s">
        <v>7</v>
      </c>
      <c r="D15" s="7">
        <v>58.1</v>
      </c>
      <c r="E15" s="7">
        <v>51.9</v>
      </c>
      <c r="F15" s="7">
        <v>0.22</v>
      </c>
      <c r="G15" s="8" t="s">
        <v>37</v>
      </c>
      <c r="J15" s="16">
        <v>45112</v>
      </c>
      <c r="K15" s="17">
        <v>4</v>
      </c>
      <c r="L15" s="17">
        <v>2</v>
      </c>
      <c r="M15" s="17">
        <v>0</v>
      </c>
      <c r="N15" s="17">
        <v>0</v>
      </c>
      <c r="O15" s="17">
        <v>4</v>
      </c>
      <c r="P15" s="17">
        <v>2</v>
      </c>
      <c r="Q15" s="17">
        <v>0</v>
      </c>
      <c r="R15" s="17">
        <v>0</v>
      </c>
      <c r="S15" s="15">
        <v>0</v>
      </c>
      <c r="U15">
        <v>14</v>
      </c>
      <c r="V15" s="1">
        <v>45014</v>
      </c>
      <c r="W15" t="s">
        <v>7</v>
      </c>
      <c r="X15">
        <v>73.5</v>
      </c>
      <c r="Y15">
        <v>65.599999999999994</v>
      </c>
      <c r="AA15" t="s">
        <v>18</v>
      </c>
      <c r="AC15">
        <v>14</v>
      </c>
      <c r="AD15" s="1">
        <v>45042</v>
      </c>
      <c r="AE15" t="s">
        <v>6</v>
      </c>
      <c r="AF15">
        <v>15.9</v>
      </c>
      <c r="AG15">
        <v>14.3</v>
      </c>
      <c r="AH15">
        <v>0.23</v>
      </c>
      <c r="AI15" t="s">
        <v>15</v>
      </c>
      <c r="AP15" t="s">
        <v>28</v>
      </c>
      <c r="AQ15">
        <f>_xlfn.QUARTILE.INC(AG2:AG100,1)</f>
        <v>11.025</v>
      </c>
      <c r="AS15" t="s">
        <v>33</v>
      </c>
      <c r="AT15">
        <f>AQ15-AQ14</f>
        <v>7.3250000000000002</v>
      </c>
    </row>
    <row r="16" spans="1:46" ht="17" thickBot="1" x14ac:dyDescent="0.25">
      <c r="A16" s="11">
        <v>15</v>
      </c>
      <c r="B16" s="12">
        <v>44953</v>
      </c>
      <c r="C16" s="13" t="s">
        <v>7</v>
      </c>
      <c r="D16" s="13">
        <v>39.799999999999997</v>
      </c>
      <c r="E16" s="13">
        <v>35.5</v>
      </c>
      <c r="F16" s="13">
        <v>0.15</v>
      </c>
      <c r="G16" s="14" t="s">
        <v>18</v>
      </c>
      <c r="J16" s="16">
        <v>45166</v>
      </c>
      <c r="K16" s="17">
        <v>5</v>
      </c>
      <c r="L16" s="17">
        <v>1</v>
      </c>
      <c r="M16" s="17">
        <v>0</v>
      </c>
      <c r="N16" s="17">
        <v>0</v>
      </c>
      <c r="O16" s="17">
        <v>5</v>
      </c>
      <c r="P16" s="17">
        <v>1</v>
      </c>
      <c r="Q16" s="17">
        <v>0</v>
      </c>
      <c r="R16" s="17">
        <v>0</v>
      </c>
      <c r="S16" s="15">
        <v>0</v>
      </c>
      <c r="U16">
        <v>15</v>
      </c>
      <c r="V16" s="1">
        <v>45042</v>
      </c>
      <c r="W16" t="s">
        <v>7</v>
      </c>
      <c r="X16">
        <v>79.2</v>
      </c>
      <c r="Y16">
        <v>70.7</v>
      </c>
      <c r="Z16">
        <v>0.14000000000000001</v>
      </c>
      <c r="AA16" t="s">
        <v>37</v>
      </c>
      <c r="AC16">
        <v>15</v>
      </c>
      <c r="AD16" s="1">
        <v>45210</v>
      </c>
      <c r="AE16" t="s">
        <v>6</v>
      </c>
      <c r="AF16">
        <v>19</v>
      </c>
      <c r="AG16">
        <v>17.3</v>
      </c>
      <c r="AI16" t="s">
        <v>15</v>
      </c>
      <c r="AP16" t="s">
        <v>29</v>
      </c>
      <c r="AQ16">
        <f>_xlfn.QUARTILE.INC(AG2:AG100,2)</f>
        <v>12.8</v>
      </c>
      <c r="AS16" t="s">
        <v>34</v>
      </c>
      <c r="AT16">
        <f>AQ16-AQ15</f>
        <v>1.7750000000000004</v>
      </c>
    </row>
    <row r="17" spans="1:46" x14ac:dyDescent="0.2">
      <c r="A17" s="9">
        <v>16</v>
      </c>
      <c r="B17" s="1">
        <v>44958</v>
      </c>
      <c r="C17" t="s">
        <v>7</v>
      </c>
      <c r="D17">
        <v>68.7</v>
      </c>
      <c r="E17">
        <v>61.3</v>
      </c>
      <c r="G17" s="10" t="s">
        <v>18</v>
      </c>
      <c r="J17" s="16">
        <v>45210</v>
      </c>
      <c r="K17" s="17">
        <v>18</v>
      </c>
      <c r="L17" s="17">
        <v>5</v>
      </c>
      <c r="M17" s="17">
        <v>2</v>
      </c>
      <c r="N17" s="17">
        <v>2</v>
      </c>
      <c r="O17" s="17">
        <v>12</v>
      </c>
      <c r="P17" s="17">
        <v>3</v>
      </c>
      <c r="Q17" s="17">
        <v>4</v>
      </c>
      <c r="R17" s="17">
        <v>0</v>
      </c>
      <c r="S17" s="15">
        <v>0</v>
      </c>
      <c r="U17">
        <v>16</v>
      </c>
      <c r="V17" s="1">
        <v>45042</v>
      </c>
      <c r="W17" t="s">
        <v>7</v>
      </c>
      <c r="X17">
        <v>73.3</v>
      </c>
      <c r="Y17">
        <v>65.400000000000006</v>
      </c>
      <c r="Z17">
        <v>0.16</v>
      </c>
      <c r="AA17" t="s">
        <v>18</v>
      </c>
      <c r="AC17">
        <v>16</v>
      </c>
      <c r="AD17" s="1">
        <v>45210</v>
      </c>
      <c r="AE17" t="s">
        <v>6</v>
      </c>
      <c r="AF17">
        <v>22</v>
      </c>
      <c r="AG17">
        <v>20</v>
      </c>
      <c r="AI17" t="s">
        <v>15</v>
      </c>
      <c r="AP17" t="s">
        <v>30</v>
      </c>
      <c r="AQ17">
        <f>_xlfn.QUARTILE.INC(AG2:AG100,3)</f>
        <v>15.174999999999999</v>
      </c>
      <c r="AS17" t="s">
        <v>35</v>
      </c>
      <c r="AT17">
        <f>AQ17-AQ16</f>
        <v>2.3749999999999982</v>
      </c>
    </row>
    <row r="18" spans="1:46" x14ac:dyDescent="0.2">
      <c r="A18" s="9">
        <v>17</v>
      </c>
      <c r="B18" s="1">
        <v>44958</v>
      </c>
      <c r="C18" t="s">
        <v>6</v>
      </c>
      <c r="D18">
        <v>23.8</v>
      </c>
      <c r="E18">
        <v>21.7</v>
      </c>
      <c r="G18" s="10" t="s">
        <v>15</v>
      </c>
      <c r="J18" s="16">
        <v>45245</v>
      </c>
      <c r="K18" s="17">
        <v>9</v>
      </c>
      <c r="L18" s="17">
        <v>4</v>
      </c>
      <c r="M18" s="17">
        <v>0</v>
      </c>
      <c r="N18" s="17">
        <v>0</v>
      </c>
      <c r="O18" s="17">
        <v>6</v>
      </c>
      <c r="P18" s="17">
        <v>4</v>
      </c>
      <c r="Q18" s="17">
        <v>3</v>
      </c>
      <c r="R18" s="17">
        <v>0</v>
      </c>
      <c r="S18" s="15">
        <v>0</v>
      </c>
      <c r="U18">
        <v>17</v>
      </c>
      <c r="V18" s="1">
        <v>45070</v>
      </c>
      <c r="W18" t="s">
        <v>7</v>
      </c>
      <c r="X18">
        <v>64.2</v>
      </c>
      <c r="Y18">
        <v>57.3</v>
      </c>
      <c r="Z18">
        <v>0.06</v>
      </c>
      <c r="AA18" t="s">
        <v>37</v>
      </c>
      <c r="AC18">
        <v>17</v>
      </c>
      <c r="AD18" s="1">
        <v>45392</v>
      </c>
      <c r="AE18" t="s">
        <v>6</v>
      </c>
      <c r="AG18">
        <v>14.7</v>
      </c>
      <c r="AH18">
        <v>0.17</v>
      </c>
      <c r="AI18" t="s">
        <v>38</v>
      </c>
      <c r="AP18" t="s">
        <v>9</v>
      </c>
      <c r="AQ18">
        <f>MAX(AG2:AG100)</f>
        <v>41.2</v>
      </c>
      <c r="AS18" t="s">
        <v>36</v>
      </c>
      <c r="AT18">
        <f>AQ18-AQ17</f>
        <v>26.025000000000006</v>
      </c>
    </row>
    <row r="19" spans="1:46" x14ac:dyDescent="0.2">
      <c r="A19" s="9">
        <v>18</v>
      </c>
      <c r="B19" s="1">
        <v>44958</v>
      </c>
      <c r="C19" t="s">
        <v>6</v>
      </c>
      <c r="D19">
        <v>19</v>
      </c>
      <c r="E19">
        <v>17.3</v>
      </c>
      <c r="G19" s="10" t="s">
        <v>15</v>
      </c>
      <c r="J19" s="16">
        <v>45315</v>
      </c>
      <c r="K19" s="17">
        <v>14</v>
      </c>
      <c r="L19" s="17">
        <v>5</v>
      </c>
      <c r="M19" s="17">
        <v>0</v>
      </c>
      <c r="N19" s="17">
        <v>0</v>
      </c>
      <c r="O19" s="17">
        <v>12</v>
      </c>
      <c r="P19" s="17">
        <v>5</v>
      </c>
      <c r="Q19" s="17">
        <v>2</v>
      </c>
      <c r="R19" s="17">
        <v>0</v>
      </c>
      <c r="S19" s="17">
        <v>1</v>
      </c>
      <c r="U19">
        <v>18</v>
      </c>
      <c r="V19" s="1">
        <v>45070</v>
      </c>
      <c r="W19" t="s">
        <v>7</v>
      </c>
      <c r="X19">
        <v>77</v>
      </c>
      <c r="Y19">
        <v>68.7</v>
      </c>
      <c r="Z19">
        <v>0.04</v>
      </c>
      <c r="AA19" t="s">
        <v>37</v>
      </c>
      <c r="AC19">
        <v>18</v>
      </c>
      <c r="AD19" s="1">
        <v>45392</v>
      </c>
      <c r="AE19" t="s">
        <v>6</v>
      </c>
      <c r="AG19">
        <v>14.6</v>
      </c>
      <c r="AH19">
        <v>0.19</v>
      </c>
      <c r="AI19" t="s">
        <v>38</v>
      </c>
    </row>
    <row r="20" spans="1:46" x14ac:dyDescent="0.2">
      <c r="A20" s="9">
        <v>19</v>
      </c>
      <c r="B20" s="1">
        <v>44958</v>
      </c>
      <c r="C20" t="s">
        <v>7</v>
      </c>
      <c r="D20">
        <v>45.7</v>
      </c>
      <c r="E20">
        <v>40.799999999999997</v>
      </c>
      <c r="G20" s="10" t="s">
        <v>18</v>
      </c>
      <c r="J20" s="16">
        <v>45352</v>
      </c>
      <c r="K20" s="17">
        <v>10</v>
      </c>
      <c r="L20" s="17">
        <v>5</v>
      </c>
      <c r="M20" s="17">
        <v>0</v>
      </c>
      <c r="N20" s="17">
        <v>0</v>
      </c>
      <c r="O20" s="17">
        <v>8</v>
      </c>
      <c r="P20" s="17">
        <v>5</v>
      </c>
      <c r="Q20" s="17">
        <v>2</v>
      </c>
      <c r="R20" s="17">
        <v>0</v>
      </c>
      <c r="S20" s="15">
        <v>0</v>
      </c>
      <c r="U20">
        <v>19</v>
      </c>
      <c r="V20" s="1">
        <v>45112</v>
      </c>
      <c r="W20" t="s">
        <v>7</v>
      </c>
      <c r="X20">
        <v>59.3</v>
      </c>
      <c r="Y20">
        <v>52.9</v>
      </c>
      <c r="Z20" t="s">
        <v>55</v>
      </c>
      <c r="AA20" t="s">
        <v>37</v>
      </c>
      <c r="AC20">
        <v>19</v>
      </c>
      <c r="AD20" s="1">
        <v>45392</v>
      </c>
      <c r="AE20" t="s">
        <v>6</v>
      </c>
      <c r="AG20">
        <v>14.5</v>
      </c>
      <c r="AH20">
        <v>0.2</v>
      </c>
      <c r="AI20" t="s">
        <v>38</v>
      </c>
    </row>
    <row r="21" spans="1:46" ht="17" thickBot="1" x14ac:dyDescent="0.25">
      <c r="A21" s="9">
        <v>20</v>
      </c>
      <c r="B21" s="1">
        <v>44958</v>
      </c>
      <c r="C21" t="s">
        <v>6</v>
      </c>
      <c r="D21">
        <v>20.8</v>
      </c>
      <c r="E21">
        <v>18.899999999999999</v>
      </c>
      <c r="G21" s="10" t="s">
        <v>15</v>
      </c>
      <c r="J21" s="16">
        <v>45392</v>
      </c>
      <c r="K21" s="17">
        <v>11</v>
      </c>
      <c r="L21" s="17">
        <v>7</v>
      </c>
      <c r="M21" s="17">
        <v>4</v>
      </c>
      <c r="N21" s="17">
        <v>4</v>
      </c>
      <c r="O21" s="17">
        <v>5</v>
      </c>
      <c r="P21" s="17">
        <v>3</v>
      </c>
      <c r="Q21" s="17">
        <v>2</v>
      </c>
      <c r="R21" s="17">
        <v>0</v>
      </c>
      <c r="S21" s="15">
        <v>0</v>
      </c>
      <c r="U21">
        <v>20</v>
      </c>
      <c r="V21" s="1">
        <v>45112</v>
      </c>
      <c r="W21" t="s">
        <v>7</v>
      </c>
      <c r="X21">
        <v>71.8</v>
      </c>
      <c r="Y21">
        <v>64.099999999999994</v>
      </c>
      <c r="Z21">
        <v>0.12</v>
      </c>
      <c r="AA21" t="s">
        <v>37</v>
      </c>
      <c r="AC21">
        <v>20</v>
      </c>
      <c r="AD21" s="1">
        <v>45392</v>
      </c>
      <c r="AE21" t="s">
        <v>6</v>
      </c>
      <c r="AG21">
        <v>15.8</v>
      </c>
      <c r="AH21">
        <v>0.16</v>
      </c>
      <c r="AI21" t="s">
        <v>38</v>
      </c>
    </row>
    <row r="22" spans="1:46" x14ac:dyDescent="0.2">
      <c r="A22" s="5">
        <v>21</v>
      </c>
      <c r="B22" s="6">
        <v>44979</v>
      </c>
      <c r="C22" s="7" t="s">
        <v>7</v>
      </c>
      <c r="D22" s="7">
        <v>71.8</v>
      </c>
      <c r="E22" s="7">
        <v>64.099999999999994</v>
      </c>
      <c r="F22" s="7">
        <v>0.16</v>
      </c>
      <c r="G22" s="8" t="s">
        <v>37</v>
      </c>
      <c r="J22" s="16">
        <v>45462</v>
      </c>
      <c r="K22" s="17">
        <v>7</v>
      </c>
      <c r="L22" s="17">
        <v>4</v>
      </c>
      <c r="M22" s="17">
        <v>1</v>
      </c>
      <c r="N22" s="17">
        <v>1</v>
      </c>
      <c r="O22" s="17">
        <v>6</v>
      </c>
      <c r="P22" s="17">
        <v>3</v>
      </c>
      <c r="Q22" s="17">
        <v>0</v>
      </c>
      <c r="R22" s="17">
        <v>0</v>
      </c>
      <c r="S22" s="15">
        <v>0</v>
      </c>
      <c r="U22">
        <v>21</v>
      </c>
      <c r="V22" s="1">
        <v>45161</v>
      </c>
      <c r="W22" t="s">
        <v>7</v>
      </c>
      <c r="X22">
        <v>74.7</v>
      </c>
      <c r="Y22">
        <v>66.7</v>
      </c>
      <c r="AA22" t="s">
        <v>18</v>
      </c>
      <c r="AC22">
        <v>21</v>
      </c>
      <c r="AD22" s="1">
        <v>45462</v>
      </c>
      <c r="AE22" t="s">
        <v>6</v>
      </c>
      <c r="AF22">
        <v>16.600000000000001</v>
      </c>
      <c r="AG22">
        <v>15.1</v>
      </c>
      <c r="AI22" t="s">
        <v>38</v>
      </c>
    </row>
    <row r="23" spans="1:46" x14ac:dyDescent="0.2">
      <c r="A23" s="9">
        <v>22</v>
      </c>
      <c r="B23" s="1">
        <v>44979</v>
      </c>
      <c r="C23" t="s">
        <v>7</v>
      </c>
      <c r="D23">
        <v>60.2</v>
      </c>
      <c r="E23">
        <v>53.7</v>
      </c>
      <c r="F23">
        <v>0.25</v>
      </c>
      <c r="G23" s="10" t="s">
        <v>18</v>
      </c>
      <c r="J23" s="16">
        <v>45483</v>
      </c>
      <c r="K23" s="17">
        <v>19</v>
      </c>
      <c r="L23" s="17">
        <v>7</v>
      </c>
      <c r="M23" s="17">
        <v>2</v>
      </c>
      <c r="N23" s="17">
        <v>2</v>
      </c>
      <c r="O23" s="17">
        <v>12</v>
      </c>
      <c r="P23" s="17">
        <v>5</v>
      </c>
      <c r="Q23" s="17">
        <v>5</v>
      </c>
      <c r="R23" s="17">
        <v>0</v>
      </c>
      <c r="S23" s="15">
        <v>0</v>
      </c>
      <c r="U23">
        <v>22</v>
      </c>
      <c r="V23" s="1">
        <v>45210</v>
      </c>
      <c r="W23" t="s">
        <v>7</v>
      </c>
      <c r="X23">
        <v>53.5</v>
      </c>
      <c r="Y23">
        <v>47.8</v>
      </c>
      <c r="AA23" t="s">
        <v>37</v>
      </c>
      <c r="AC23">
        <v>22</v>
      </c>
      <c r="AD23" s="1">
        <v>45483</v>
      </c>
      <c r="AE23" t="s">
        <v>6</v>
      </c>
      <c r="AF23">
        <v>9.3000000000000007</v>
      </c>
      <c r="AG23">
        <v>8.5</v>
      </c>
      <c r="AH23">
        <v>0.16</v>
      </c>
      <c r="AI23" t="s">
        <v>38</v>
      </c>
    </row>
    <row r="24" spans="1:46" ht="17" thickBot="1" x14ac:dyDescent="0.25">
      <c r="A24" s="11">
        <v>23</v>
      </c>
      <c r="B24" s="12">
        <v>44979</v>
      </c>
      <c r="C24" s="13" t="s">
        <v>7</v>
      </c>
      <c r="D24" s="13">
        <v>61.3</v>
      </c>
      <c r="E24" s="13">
        <v>54.7</v>
      </c>
      <c r="F24" s="13">
        <v>0.25</v>
      </c>
      <c r="G24" s="14" t="s">
        <v>18</v>
      </c>
      <c r="J24" s="16">
        <v>45518</v>
      </c>
      <c r="K24" s="17">
        <v>14</v>
      </c>
      <c r="L24" s="17">
        <v>5</v>
      </c>
      <c r="M24" s="17">
        <v>2</v>
      </c>
      <c r="N24" s="17">
        <v>2</v>
      </c>
      <c r="O24" s="17">
        <v>9</v>
      </c>
      <c r="P24" s="17">
        <v>3</v>
      </c>
      <c r="Q24" s="17">
        <v>3</v>
      </c>
      <c r="R24" s="17">
        <v>0</v>
      </c>
      <c r="S24" s="15">
        <v>0</v>
      </c>
      <c r="U24">
        <v>23</v>
      </c>
      <c r="V24" s="1">
        <v>45210</v>
      </c>
      <c r="W24" t="s">
        <v>7</v>
      </c>
      <c r="X24">
        <v>59.4</v>
      </c>
      <c r="Y24">
        <v>53</v>
      </c>
      <c r="AA24" t="s">
        <v>57</v>
      </c>
      <c r="AC24">
        <v>23</v>
      </c>
      <c r="AD24" s="1">
        <v>45483</v>
      </c>
      <c r="AE24" t="s">
        <v>6</v>
      </c>
      <c r="AF24">
        <v>12.6</v>
      </c>
      <c r="AG24">
        <v>11.5</v>
      </c>
      <c r="AH24">
        <v>3.6</v>
      </c>
      <c r="AI24" t="s">
        <v>38</v>
      </c>
    </row>
    <row r="25" spans="1:46" x14ac:dyDescent="0.2">
      <c r="A25" s="5">
        <v>24</v>
      </c>
      <c r="B25" s="6">
        <v>45014</v>
      </c>
      <c r="C25" s="7" t="s">
        <v>7</v>
      </c>
      <c r="D25" s="7">
        <v>77.7</v>
      </c>
      <c r="E25" s="7">
        <v>69.400000000000006</v>
      </c>
      <c r="F25" s="7"/>
      <c r="G25" s="8" t="s">
        <v>18</v>
      </c>
      <c r="J25" s="16">
        <v>45553</v>
      </c>
      <c r="K25" s="17">
        <v>20</v>
      </c>
      <c r="L25" s="17">
        <v>7</v>
      </c>
      <c r="M25" s="17">
        <v>0</v>
      </c>
      <c r="N25" s="17">
        <v>0</v>
      </c>
      <c r="O25" s="17">
        <v>17</v>
      </c>
      <c r="P25" s="17">
        <v>7</v>
      </c>
      <c r="Q25" s="17">
        <v>3</v>
      </c>
      <c r="R25" s="17">
        <v>0</v>
      </c>
      <c r="S25" s="15">
        <v>0</v>
      </c>
      <c r="U25">
        <v>24</v>
      </c>
      <c r="V25" s="1">
        <v>45210</v>
      </c>
      <c r="W25" t="s">
        <v>7</v>
      </c>
      <c r="X25">
        <v>53</v>
      </c>
      <c r="Y25">
        <v>47.3</v>
      </c>
      <c r="AA25" t="s">
        <v>37</v>
      </c>
      <c r="AC25">
        <v>24</v>
      </c>
      <c r="AD25" s="1">
        <v>45518</v>
      </c>
      <c r="AE25" t="s">
        <v>6</v>
      </c>
      <c r="AF25">
        <v>17.399999999999999</v>
      </c>
      <c r="AG25">
        <v>15.8</v>
      </c>
      <c r="AH25">
        <v>0.23</v>
      </c>
      <c r="AI25" t="s">
        <v>38</v>
      </c>
    </row>
    <row r="26" spans="1:46" x14ac:dyDescent="0.2">
      <c r="A26" s="9">
        <v>25</v>
      </c>
      <c r="B26" s="1">
        <v>45014</v>
      </c>
      <c r="C26" t="s">
        <v>7</v>
      </c>
      <c r="D26">
        <v>80.3</v>
      </c>
      <c r="E26">
        <v>71.7</v>
      </c>
      <c r="G26" s="10" t="s">
        <v>37</v>
      </c>
      <c r="J26" s="32">
        <v>45567</v>
      </c>
      <c r="K26" s="17">
        <v>16</v>
      </c>
      <c r="L26" s="17">
        <v>5</v>
      </c>
      <c r="M26" s="17">
        <v>3</v>
      </c>
      <c r="N26" s="17">
        <v>3</v>
      </c>
      <c r="O26" s="17">
        <v>12</v>
      </c>
      <c r="P26" s="17">
        <v>2</v>
      </c>
      <c r="Q26" s="17">
        <v>1</v>
      </c>
      <c r="R26" s="17">
        <v>0</v>
      </c>
      <c r="S26" s="17">
        <v>4</v>
      </c>
      <c r="U26">
        <v>25</v>
      </c>
      <c r="V26" s="1">
        <v>45245</v>
      </c>
      <c r="W26" t="s">
        <v>7</v>
      </c>
      <c r="X26">
        <v>57.7</v>
      </c>
      <c r="Y26">
        <v>51.5</v>
      </c>
      <c r="AA26" t="s">
        <v>37</v>
      </c>
      <c r="AC26">
        <v>25</v>
      </c>
      <c r="AD26" s="1">
        <v>45518</v>
      </c>
      <c r="AE26" t="s">
        <v>6</v>
      </c>
      <c r="AF26">
        <v>9.1</v>
      </c>
      <c r="AG26">
        <v>8.3000000000000007</v>
      </c>
      <c r="AH26">
        <v>0.19</v>
      </c>
      <c r="AI26" t="s">
        <v>38</v>
      </c>
    </row>
    <row r="27" spans="1:46" ht="17" thickBot="1" x14ac:dyDescent="0.25">
      <c r="A27" s="11">
        <v>26</v>
      </c>
      <c r="B27" s="12">
        <v>45014</v>
      </c>
      <c r="C27" s="13" t="s">
        <v>7</v>
      </c>
      <c r="D27" s="13">
        <v>73.5</v>
      </c>
      <c r="E27" s="13">
        <v>65.599999999999994</v>
      </c>
      <c r="F27" s="13"/>
      <c r="G27" s="14" t="s">
        <v>18</v>
      </c>
      <c r="J27" s="32">
        <v>45581</v>
      </c>
      <c r="K27" s="17">
        <v>11</v>
      </c>
      <c r="L27" s="17">
        <v>3</v>
      </c>
      <c r="M27" s="17">
        <v>0</v>
      </c>
      <c r="N27" s="17">
        <v>0</v>
      </c>
      <c r="O27" s="17">
        <v>8</v>
      </c>
      <c r="P27" s="17">
        <v>3</v>
      </c>
      <c r="Q27" s="17">
        <v>3</v>
      </c>
      <c r="R27" s="17">
        <v>0</v>
      </c>
      <c r="S27" s="17">
        <v>2</v>
      </c>
      <c r="U27">
        <v>26</v>
      </c>
      <c r="V27" s="1">
        <v>45245</v>
      </c>
      <c r="W27" t="s">
        <v>7</v>
      </c>
      <c r="X27">
        <v>63.4</v>
      </c>
      <c r="Y27">
        <v>56.6</v>
      </c>
      <c r="AA27" t="s">
        <v>37</v>
      </c>
      <c r="AC27">
        <v>26</v>
      </c>
      <c r="AD27" s="1">
        <v>45567</v>
      </c>
      <c r="AE27" t="s">
        <v>6</v>
      </c>
      <c r="AF27">
        <v>7.6</v>
      </c>
      <c r="AG27">
        <v>6.9</v>
      </c>
      <c r="AH27">
        <v>0.2</v>
      </c>
      <c r="AI27" t="s">
        <v>38</v>
      </c>
    </row>
    <row r="28" spans="1:46" x14ac:dyDescent="0.2">
      <c r="A28" s="5">
        <v>27</v>
      </c>
      <c r="B28" s="6">
        <v>45042</v>
      </c>
      <c r="C28" s="7" t="s">
        <v>6</v>
      </c>
      <c r="D28" s="7">
        <v>18.3</v>
      </c>
      <c r="E28" s="7">
        <v>16.7</v>
      </c>
      <c r="F28" s="7">
        <v>0.22</v>
      </c>
      <c r="G28" s="8" t="s">
        <v>47</v>
      </c>
      <c r="J28" s="32">
        <v>45595</v>
      </c>
      <c r="K28" s="17">
        <v>13</v>
      </c>
      <c r="L28" s="17">
        <v>3</v>
      </c>
      <c r="M28" s="17">
        <v>0</v>
      </c>
      <c r="N28" s="17">
        <v>0</v>
      </c>
      <c r="O28" s="17">
        <v>10</v>
      </c>
      <c r="P28" s="17">
        <v>3</v>
      </c>
      <c r="Q28" s="17">
        <v>3</v>
      </c>
      <c r="R28" s="17">
        <v>0</v>
      </c>
      <c r="S28" s="15">
        <v>2</v>
      </c>
      <c r="U28">
        <v>27</v>
      </c>
      <c r="V28" s="1">
        <v>45245</v>
      </c>
      <c r="W28" t="s">
        <v>7</v>
      </c>
      <c r="X28">
        <v>71.599999999999994</v>
      </c>
      <c r="Y28">
        <v>63.9</v>
      </c>
      <c r="AA28" t="s">
        <v>37</v>
      </c>
      <c r="AC28">
        <v>27</v>
      </c>
      <c r="AD28" s="1">
        <v>45567</v>
      </c>
      <c r="AE28" t="s">
        <v>6</v>
      </c>
      <c r="AF28">
        <v>12.2</v>
      </c>
      <c r="AG28">
        <v>11.1</v>
      </c>
      <c r="AH28">
        <v>0.18</v>
      </c>
      <c r="AI28" t="s">
        <v>38</v>
      </c>
    </row>
    <row r="29" spans="1:46" x14ac:dyDescent="0.2">
      <c r="A29" s="9">
        <v>28</v>
      </c>
      <c r="B29" s="1">
        <v>45042</v>
      </c>
      <c r="C29" t="s">
        <v>7</v>
      </c>
      <c r="D29">
        <v>79.2</v>
      </c>
      <c r="E29">
        <v>70.7</v>
      </c>
      <c r="F29">
        <v>0.14000000000000001</v>
      </c>
      <c r="G29" s="10" t="s">
        <v>37</v>
      </c>
      <c r="J29" s="32">
        <v>45609</v>
      </c>
      <c r="K29" s="17">
        <v>21</v>
      </c>
      <c r="L29" s="17">
        <v>8</v>
      </c>
      <c r="M29" s="17">
        <v>6</v>
      </c>
      <c r="N29" s="17">
        <v>6</v>
      </c>
      <c r="O29" s="17">
        <v>9</v>
      </c>
      <c r="P29" s="17">
        <v>2</v>
      </c>
      <c r="Q29" s="17">
        <v>6</v>
      </c>
      <c r="R29" s="17">
        <v>0</v>
      </c>
      <c r="S29" s="15">
        <v>2</v>
      </c>
      <c r="U29">
        <v>28</v>
      </c>
      <c r="V29" s="1">
        <v>45245</v>
      </c>
      <c r="W29" t="s">
        <v>7</v>
      </c>
      <c r="X29">
        <v>64.400000000000006</v>
      </c>
      <c r="Y29">
        <v>57.5</v>
      </c>
      <c r="AA29" t="s">
        <v>37</v>
      </c>
      <c r="AC29">
        <v>28</v>
      </c>
      <c r="AD29" s="1">
        <v>45567</v>
      </c>
      <c r="AE29" t="s">
        <v>6</v>
      </c>
      <c r="AF29">
        <v>15.6</v>
      </c>
      <c r="AG29">
        <v>14.2</v>
      </c>
      <c r="AH29">
        <v>0.16</v>
      </c>
      <c r="AI29" t="s">
        <v>38</v>
      </c>
    </row>
    <row r="30" spans="1:46" x14ac:dyDescent="0.2">
      <c r="A30" s="9">
        <v>29</v>
      </c>
      <c r="B30" s="1">
        <v>45042</v>
      </c>
      <c r="C30" t="s">
        <v>6</v>
      </c>
      <c r="D30">
        <v>15.9</v>
      </c>
      <c r="E30">
        <v>14.3</v>
      </c>
      <c r="F30">
        <v>0.23</v>
      </c>
      <c r="G30" s="10" t="s">
        <v>47</v>
      </c>
      <c r="J30" s="32">
        <v>45623</v>
      </c>
      <c r="K30" s="17">
        <v>14</v>
      </c>
      <c r="L30" s="17">
        <v>4</v>
      </c>
      <c r="M30" s="17">
        <v>1</v>
      </c>
      <c r="N30" s="17">
        <v>1</v>
      </c>
      <c r="O30" s="17">
        <v>9</v>
      </c>
      <c r="P30" s="17">
        <v>3</v>
      </c>
      <c r="Q30" s="17">
        <v>4</v>
      </c>
      <c r="R30" s="17">
        <v>0</v>
      </c>
      <c r="S30" s="15">
        <v>1</v>
      </c>
      <c r="U30">
        <v>29</v>
      </c>
      <c r="V30" s="1">
        <v>45315</v>
      </c>
      <c r="W30" t="s">
        <v>7</v>
      </c>
      <c r="X30">
        <v>46.3</v>
      </c>
      <c r="Y30">
        <v>31.3</v>
      </c>
      <c r="Z30">
        <v>0.2</v>
      </c>
      <c r="AA30" t="s">
        <v>57</v>
      </c>
      <c r="AC30">
        <v>29</v>
      </c>
      <c r="AD30" s="1">
        <v>45609</v>
      </c>
      <c r="AE30" t="s">
        <v>6</v>
      </c>
      <c r="AF30">
        <v>20.3</v>
      </c>
      <c r="AG30">
        <v>18.5</v>
      </c>
      <c r="AH30">
        <v>0.11</v>
      </c>
      <c r="AI30" t="s">
        <v>38</v>
      </c>
    </row>
    <row r="31" spans="1:46" ht="17" thickBot="1" x14ac:dyDescent="0.25">
      <c r="A31" s="11">
        <v>30</v>
      </c>
      <c r="B31" s="12">
        <v>45042</v>
      </c>
      <c r="C31" s="13" t="s">
        <v>7</v>
      </c>
      <c r="D31" s="13">
        <v>73.3</v>
      </c>
      <c r="E31" s="13">
        <v>65.400000000000006</v>
      </c>
      <c r="F31" s="13">
        <v>0.16</v>
      </c>
      <c r="G31" s="14" t="s">
        <v>18</v>
      </c>
      <c r="J31" s="32">
        <v>45637</v>
      </c>
      <c r="K31" s="17">
        <v>17</v>
      </c>
      <c r="L31" s="17">
        <v>5</v>
      </c>
      <c r="M31" s="17">
        <v>1</v>
      </c>
      <c r="N31" s="17">
        <v>1</v>
      </c>
      <c r="O31" s="17">
        <v>10</v>
      </c>
      <c r="P31" s="17">
        <v>4</v>
      </c>
      <c r="Q31" s="17">
        <v>2</v>
      </c>
      <c r="R31" s="17">
        <v>0</v>
      </c>
      <c r="S31" s="15">
        <v>6</v>
      </c>
      <c r="U31">
        <v>30</v>
      </c>
      <c r="V31" s="1">
        <v>45315</v>
      </c>
      <c r="W31" t="s">
        <v>7</v>
      </c>
      <c r="X31">
        <v>66.5</v>
      </c>
      <c r="Y31">
        <v>59.4</v>
      </c>
      <c r="Z31">
        <v>0.1</v>
      </c>
      <c r="AA31" t="s">
        <v>58</v>
      </c>
      <c r="AC31">
        <v>30</v>
      </c>
      <c r="AD31" s="1">
        <v>45609</v>
      </c>
      <c r="AE31" t="s">
        <v>6</v>
      </c>
      <c r="AF31">
        <v>45.3</v>
      </c>
      <c r="AG31">
        <v>41.2</v>
      </c>
      <c r="AH31">
        <v>0.16</v>
      </c>
      <c r="AI31" t="s">
        <v>38</v>
      </c>
    </row>
    <row r="32" spans="1:46" x14ac:dyDescent="0.2">
      <c r="A32" s="5">
        <v>31</v>
      </c>
      <c r="B32" s="6">
        <v>45070</v>
      </c>
      <c r="C32" s="7" t="s">
        <v>7</v>
      </c>
      <c r="D32" s="7">
        <v>64.2</v>
      </c>
      <c r="E32" s="7">
        <v>57.3</v>
      </c>
      <c r="F32" s="7">
        <v>0.06</v>
      </c>
      <c r="G32" s="8" t="s">
        <v>37</v>
      </c>
      <c r="J32" s="32">
        <v>45644</v>
      </c>
      <c r="K32" s="17">
        <v>11</v>
      </c>
      <c r="L32" s="17">
        <v>2</v>
      </c>
      <c r="M32" s="17">
        <v>1</v>
      </c>
      <c r="N32" s="17">
        <v>1</v>
      </c>
      <c r="O32" s="17">
        <v>6</v>
      </c>
      <c r="P32" s="17">
        <v>1</v>
      </c>
      <c r="Q32" s="17">
        <v>2</v>
      </c>
      <c r="R32" s="17">
        <v>0</v>
      </c>
      <c r="S32" s="15">
        <v>6</v>
      </c>
      <c r="U32">
        <v>31</v>
      </c>
      <c r="V32" s="1">
        <v>45315</v>
      </c>
      <c r="W32" t="s">
        <v>7</v>
      </c>
      <c r="X32">
        <v>65.2</v>
      </c>
      <c r="Y32">
        <v>58.2</v>
      </c>
      <c r="Z32">
        <v>0.15</v>
      </c>
      <c r="AA32" t="s">
        <v>57</v>
      </c>
      <c r="AC32">
        <v>31</v>
      </c>
      <c r="AD32" s="1">
        <v>45609</v>
      </c>
      <c r="AE32" t="s">
        <v>6</v>
      </c>
      <c r="AF32">
        <v>17.5</v>
      </c>
      <c r="AG32">
        <v>15.9</v>
      </c>
      <c r="AI32" t="s">
        <v>38</v>
      </c>
    </row>
    <row r="33" spans="1:35" ht="17" thickBot="1" x14ac:dyDescent="0.25">
      <c r="A33" s="11">
        <v>32</v>
      </c>
      <c r="B33" s="12">
        <v>45070</v>
      </c>
      <c r="C33" s="13" t="s">
        <v>7</v>
      </c>
      <c r="D33" s="13">
        <v>77</v>
      </c>
      <c r="E33" s="13">
        <v>68.7</v>
      </c>
      <c r="F33" s="13">
        <v>0.04</v>
      </c>
      <c r="G33" s="14" t="s">
        <v>37</v>
      </c>
      <c r="J33" s="32">
        <v>45665</v>
      </c>
      <c r="K33" s="17">
        <v>23</v>
      </c>
      <c r="L33" s="17">
        <v>8</v>
      </c>
      <c r="M33" s="17">
        <v>8</v>
      </c>
      <c r="N33" s="17">
        <v>8</v>
      </c>
      <c r="O33" s="17">
        <v>9</v>
      </c>
      <c r="P33" s="17">
        <v>0</v>
      </c>
      <c r="Q33" s="17">
        <v>6</v>
      </c>
      <c r="R33" s="17">
        <v>0</v>
      </c>
      <c r="S33" s="15">
        <v>0</v>
      </c>
      <c r="U33">
        <v>32</v>
      </c>
      <c r="V33" s="1">
        <v>45315</v>
      </c>
      <c r="W33" t="s">
        <v>7</v>
      </c>
      <c r="X33">
        <v>60.9</v>
      </c>
      <c r="Y33">
        <v>54.4</v>
      </c>
      <c r="Z33">
        <v>0.08</v>
      </c>
      <c r="AA33" t="s">
        <v>18</v>
      </c>
      <c r="AC33">
        <v>32</v>
      </c>
      <c r="AD33" s="1">
        <v>45609</v>
      </c>
      <c r="AE33" t="s">
        <v>6</v>
      </c>
      <c r="AF33">
        <v>15.3</v>
      </c>
      <c r="AG33">
        <v>13.9</v>
      </c>
      <c r="AH33">
        <v>0.2</v>
      </c>
      <c r="AI33" t="s">
        <v>38</v>
      </c>
    </row>
    <row r="34" spans="1:35" x14ac:dyDescent="0.2">
      <c r="A34" s="5">
        <v>33</v>
      </c>
      <c r="B34" s="6">
        <v>45112</v>
      </c>
      <c r="C34" s="7" t="s">
        <v>7</v>
      </c>
      <c r="D34" s="7">
        <v>59.3</v>
      </c>
      <c r="E34" s="7">
        <v>52.9</v>
      </c>
      <c r="F34" s="7" t="s">
        <v>55</v>
      </c>
      <c r="G34" s="8" t="s">
        <v>37</v>
      </c>
      <c r="J34" s="32">
        <v>45679</v>
      </c>
      <c r="K34" s="17">
        <v>11</v>
      </c>
      <c r="L34" s="17">
        <v>5</v>
      </c>
      <c r="M34" s="17">
        <v>4</v>
      </c>
      <c r="N34" s="17">
        <v>4</v>
      </c>
      <c r="O34" s="17">
        <v>2</v>
      </c>
      <c r="P34" s="17">
        <v>1</v>
      </c>
      <c r="Q34" s="17">
        <v>0</v>
      </c>
      <c r="R34" s="17">
        <v>0</v>
      </c>
      <c r="S34" s="15">
        <v>0</v>
      </c>
      <c r="U34">
        <v>33</v>
      </c>
      <c r="V34" s="1">
        <v>45315</v>
      </c>
      <c r="W34" t="s">
        <v>7</v>
      </c>
      <c r="X34">
        <v>63.1</v>
      </c>
      <c r="Y34">
        <v>56.3</v>
      </c>
      <c r="Z34">
        <v>0.24</v>
      </c>
      <c r="AA34" t="s">
        <v>18</v>
      </c>
      <c r="AC34">
        <v>33</v>
      </c>
      <c r="AD34" s="1">
        <v>45609</v>
      </c>
      <c r="AE34" t="s">
        <v>6</v>
      </c>
      <c r="AF34">
        <v>12.7</v>
      </c>
      <c r="AG34">
        <v>11.6</v>
      </c>
      <c r="AH34">
        <v>0.15</v>
      </c>
      <c r="AI34" t="s">
        <v>38</v>
      </c>
    </row>
    <row r="35" spans="1:35" ht="17" thickBot="1" x14ac:dyDescent="0.25">
      <c r="A35" s="11">
        <v>34</v>
      </c>
      <c r="B35" s="12">
        <v>45112</v>
      </c>
      <c r="C35" s="13" t="s">
        <v>7</v>
      </c>
      <c r="D35" s="13">
        <v>71.8</v>
      </c>
      <c r="E35" s="13">
        <v>64.099999999999994</v>
      </c>
      <c r="F35" s="13">
        <v>0.12</v>
      </c>
      <c r="G35" s="14" t="s">
        <v>37</v>
      </c>
      <c r="J35" s="32">
        <v>45693</v>
      </c>
      <c r="K35" s="17">
        <v>12</v>
      </c>
      <c r="L35" s="17">
        <v>6</v>
      </c>
      <c r="M35" s="17">
        <v>6</v>
      </c>
      <c r="N35" s="17">
        <v>6</v>
      </c>
      <c r="O35" s="17">
        <v>4</v>
      </c>
      <c r="P35" s="17">
        <v>0</v>
      </c>
      <c r="Q35" s="17">
        <v>2</v>
      </c>
      <c r="R35" s="17">
        <v>0</v>
      </c>
      <c r="S35" s="15">
        <v>1</v>
      </c>
      <c r="U35">
        <v>34</v>
      </c>
      <c r="V35" s="1">
        <v>45352</v>
      </c>
      <c r="W35" t="s">
        <v>7</v>
      </c>
      <c r="X35">
        <v>61.8</v>
      </c>
      <c r="Y35">
        <v>55.2</v>
      </c>
      <c r="Z35">
        <v>0.14000000000000001</v>
      </c>
      <c r="AA35" t="s">
        <v>18</v>
      </c>
      <c r="AC35">
        <v>34</v>
      </c>
      <c r="AD35" s="1">
        <v>45609</v>
      </c>
      <c r="AE35" t="s">
        <v>6</v>
      </c>
      <c r="AF35">
        <v>18.3</v>
      </c>
      <c r="AG35">
        <v>16.7</v>
      </c>
      <c r="AH35">
        <v>0.24</v>
      </c>
      <c r="AI35" t="s">
        <v>38</v>
      </c>
    </row>
    <row r="36" spans="1:35" ht="17" thickBot="1" x14ac:dyDescent="0.25">
      <c r="A36" s="2">
        <v>35</v>
      </c>
      <c r="B36" s="23">
        <v>45161</v>
      </c>
      <c r="C36" s="3" t="s">
        <v>7</v>
      </c>
      <c r="D36" s="3">
        <v>74.7</v>
      </c>
      <c r="E36" s="3">
        <v>66.7</v>
      </c>
      <c r="F36" s="3"/>
      <c r="G36" s="4" t="s">
        <v>18</v>
      </c>
      <c r="J36" s="32">
        <v>45721</v>
      </c>
      <c r="K36" s="17">
        <v>14</v>
      </c>
      <c r="L36" s="17">
        <v>3</v>
      </c>
      <c r="M36" s="17">
        <v>2</v>
      </c>
      <c r="N36" s="17">
        <v>2</v>
      </c>
      <c r="O36" s="17">
        <v>8</v>
      </c>
      <c r="P36" s="17">
        <v>1</v>
      </c>
      <c r="Q36" s="17">
        <v>4</v>
      </c>
      <c r="R36" s="17">
        <v>0</v>
      </c>
      <c r="S36" s="15">
        <v>0</v>
      </c>
      <c r="U36">
        <v>35</v>
      </c>
      <c r="V36" s="1">
        <v>45352</v>
      </c>
      <c r="W36" t="s">
        <v>7</v>
      </c>
      <c r="X36">
        <v>61.5</v>
      </c>
      <c r="Y36">
        <v>54.9</v>
      </c>
      <c r="Z36">
        <v>0.18</v>
      </c>
      <c r="AA36" t="s">
        <v>37</v>
      </c>
      <c r="AC36">
        <v>35</v>
      </c>
      <c r="AD36" s="1">
        <v>45623</v>
      </c>
      <c r="AE36" t="s">
        <v>6</v>
      </c>
      <c r="AG36">
        <v>11.8</v>
      </c>
      <c r="AH36">
        <v>0.15</v>
      </c>
      <c r="AI36" t="s">
        <v>38</v>
      </c>
    </row>
    <row r="37" spans="1:35" x14ac:dyDescent="0.2">
      <c r="A37" s="5">
        <v>36</v>
      </c>
      <c r="B37" s="6">
        <v>45210</v>
      </c>
      <c r="C37" s="7" t="s">
        <v>6</v>
      </c>
      <c r="D37" s="7">
        <v>19</v>
      </c>
      <c r="E37" s="7">
        <v>17.3</v>
      </c>
      <c r="F37" s="7"/>
      <c r="G37" s="8" t="s">
        <v>47</v>
      </c>
      <c r="J37" s="32">
        <v>45735</v>
      </c>
      <c r="K37" s="17">
        <v>15</v>
      </c>
      <c r="L37" s="17">
        <v>4</v>
      </c>
      <c r="M37" s="17">
        <v>1</v>
      </c>
      <c r="N37" s="17">
        <v>1</v>
      </c>
      <c r="O37" s="17">
        <v>8</v>
      </c>
      <c r="P37" s="17">
        <v>3</v>
      </c>
      <c r="Q37" s="17">
        <v>6</v>
      </c>
      <c r="R37" s="17">
        <v>0</v>
      </c>
      <c r="S37" s="15">
        <v>1</v>
      </c>
      <c r="U37">
        <v>36</v>
      </c>
      <c r="V37" s="1">
        <v>45352</v>
      </c>
      <c r="W37" t="s">
        <v>7</v>
      </c>
      <c r="X37">
        <v>70.400000000000006</v>
      </c>
      <c r="Y37">
        <v>62.8</v>
      </c>
      <c r="Z37">
        <v>0.15</v>
      </c>
      <c r="AA37" t="s">
        <v>37</v>
      </c>
      <c r="AC37">
        <v>36</v>
      </c>
      <c r="AD37" s="1">
        <v>45637</v>
      </c>
      <c r="AE37" t="s">
        <v>6</v>
      </c>
      <c r="AG37">
        <v>7.1</v>
      </c>
      <c r="AH37">
        <v>0.2</v>
      </c>
      <c r="AI37" s="10" t="s">
        <v>15</v>
      </c>
    </row>
    <row r="38" spans="1:35" x14ac:dyDescent="0.2">
      <c r="A38" s="9">
        <v>37</v>
      </c>
      <c r="B38" s="1">
        <v>45210</v>
      </c>
      <c r="C38" t="s">
        <v>7</v>
      </c>
      <c r="D38">
        <v>53.5</v>
      </c>
      <c r="E38">
        <v>47.8</v>
      </c>
      <c r="G38" s="10" t="s">
        <v>37</v>
      </c>
      <c r="J38" s="32">
        <v>45749</v>
      </c>
      <c r="K38" s="17">
        <v>10</v>
      </c>
      <c r="L38" s="17">
        <v>1</v>
      </c>
      <c r="M38" s="17">
        <v>0</v>
      </c>
      <c r="N38" s="17">
        <v>0</v>
      </c>
      <c r="O38" s="17">
        <v>7</v>
      </c>
      <c r="P38" s="17">
        <v>1</v>
      </c>
      <c r="Q38" s="17">
        <v>3</v>
      </c>
      <c r="R38" s="17">
        <v>0</v>
      </c>
      <c r="S38" s="15">
        <v>1</v>
      </c>
      <c r="U38">
        <v>37</v>
      </c>
      <c r="V38" s="1">
        <v>45352</v>
      </c>
      <c r="W38" t="s">
        <v>7</v>
      </c>
      <c r="X38">
        <v>75.7</v>
      </c>
      <c r="Y38">
        <v>67.599999999999994</v>
      </c>
      <c r="Z38">
        <v>0.17</v>
      </c>
      <c r="AA38" t="s">
        <v>37</v>
      </c>
      <c r="AC38">
        <v>37</v>
      </c>
      <c r="AD38" s="1">
        <v>45644</v>
      </c>
      <c r="AE38" t="s">
        <v>6</v>
      </c>
      <c r="AG38">
        <v>12.4</v>
      </c>
      <c r="AI38" t="s">
        <v>38</v>
      </c>
    </row>
    <row r="39" spans="1:35" x14ac:dyDescent="0.2">
      <c r="A39" s="9">
        <v>38</v>
      </c>
      <c r="B39" s="1">
        <v>45210</v>
      </c>
      <c r="C39" t="s">
        <v>7</v>
      </c>
      <c r="D39">
        <v>59.4</v>
      </c>
      <c r="E39">
        <v>53</v>
      </c>
      <c r="G39" s="10" t="s">
        <v>57</v>
      </c>
      <c r="J39" s="32">
        <v>45763</v>
      </c>
      <c r="K39" s="17">
        <v>14</v>
      </c>
      <c r="L39" s="17">
        <v>4</v>
      </c>
      <c r="M39" s="17">
        <v>2</v>
      </c>
      <c r="N39" s="17">
        <v>2</v>
      </c>
      <c r="O39" s="17">
        <v>9</v>
      </c>
      <c r="P39" s="17">
        <v>2</v>
      </c>
      <c r="Q39" s="17">
        <v>0</v>
      </c>
      <c r="R39" s="17">
        <v>0</v>
      </c>
      <c r="S39" s="15">
        <v>6</v>
      </c>
      <c r="U39">
        <v>38</v>
      </c>
      <c r="V39" s="1">
        <v>45352</v>
      </c>
      <c r="W39" t="s">
        <v>7</v>
      </c>
      <c r="X39">
        <v>76.2</v>
      </c>
      <c r="Y39">
        <v>68</v>
      </c>
      <c r="AA39" t="s">
        <v>18</v>
      </c>
      <c r="AC39">
        <v>38</v>
      </c>
      <c r="AD39" s="1">
        <v>45665</v>
      </c>
      <c r="AE39" t="s">
        <v>6</v>
      </c>
      <c r="AG39">
        <v>7.3</v>
      </c>
      <c r="AH39">
        <v>0.18</v>
      </c>
      <c r="AI39" t="s">
        <v>15</v>
      </c>
    </row>
    <row r="40" spans="1:35" x14ac:dyDescent="0.2">
      <c r="A40" s="9">
        <v>39</v>
      </c>
      <c r="B40" s="1">
        <v>45210</v>
      </c>
      <c r="C40" t="s">
        <v>7</v>
      </c>
      <c r="D40">
        <v>53</v>
      </c>
      <c r="E40">
        <v>47.3</v>
      </c>
      <c r="G40" s="10" t="s">
        <v>37</v>
      </c>
      <c r="J40" s="32">
        <v>45777</v>
      </c>
      <c r="K40" s="17">
        <v>14</v>
      </c>
      <c r="L40" s="17">
        <v>3</v>
      </c>
      <c r="M40" s="17">
        <v>2</v>
      </c>
      <c r="N40" s="17">
        <v>2</v>
      </c>
      <c r="O40" s="17">
        <v>7</v>
      </c>
      <c r="P40" s="17">
        <v>1</v>
      </c>
      <c r="Q40" s="17">
        <v>4</v>
      </c>
      <c r="R40" s="17">
        <v>0</v>
      </c>
      <c r="S40" s="15">
        <v>0</v>
      </c>
      <c r="U40">
        <v>39</v>
      </c>
      <c r="V40" s="1">
        <v>45392</v>
      </c>
      <c r="W40" t="s">
        <v>7</v>
      </c>
      <c r="X40">
        <v>52.2</v>
      </c>
      <c r="Y40">
        <v>46.6</v>
      </c>
      <c r="Z40">
        <v>0.18</v>
      </c>
      <c r="AA40" t="s">
        <v>18</v>
      </c>
      <c r="AC40">
        <v>39</v>
      </c>
      <c r="AD40" s="1">
        <v>45665</v>
      </c>
      <c r="AE40" t="s">
        <v>6</v>
      </c>
      <c r="AG40">
        <v>7.5</v>
      </c>
      <c r="AH40">
        <v>0.18</v>
      </c>
      <c r="AI40" t="s">
        <v>15</v>
      </c>
    </row>
    <row r="41" spans="1:35" ht="17" thickBot="1" x14ac:dyDescent="0.25">
      <c r="A41" s="11">
        <v>40</v>
      </c>
      <c r="B41" s="12">
        <v>45210</v>
      </c>
      <c r="C41" s="13" t="s">
        <v>6</v>
      </c>
      <c r="D41" s="13">
        <v>22</v>
      </c>
      <c r="E41" s="13">
        <v>20</v>
      </c>
      <c r="F41" s="13"/>
      <c r="G41" s="14" t="s">
        <v>47</v>
      </c>
      <c r="J41" s="32">
        <v>45791</v>
      </c>
      <c r="K41" s="17">
        <v>11</v>
      </c>
      <c r="L41" s="17">
        <v>2</v>
      </c>
      <c r="M41" s="17">
        <v>1</v>
      </c>
      <c r="N41" s="17">
        <v>1</v>
      </c>
      <c r="O41" s="17">
        <v>7</v>
      </c>
      <c r="P41" s="17">
        <v>1</v>
      </c>
      <c r="Q41" s="17">
        <v>3</v>
      </c>
      <c r="R41" s="17">
        <v>0</v>
      </c>
      <c r="S41" s="15">
        <v>0</v>
      </c>
      <c r="U41">
        <v>40</v>
      </c>
      <c r="V41" s="1">
        <v>45392</v>
      </c>
      <c r="W41" t="s">
        <v>7</v>
      </c>
      <c r="X41">
        <v>74.5</v>
      </c>
      <c r="Y41">
        <v>66.5</v>
      </c>
      <c r="Z41">
        <v>0.15</v>
      </c>
      <c r="AA41" t="s">
        <v>37</v>
      </c>
      <c r="AC41">
        <v>40</v>
      </c>
      <c r="AD41" s="1">
        <v>45665</v>
      </c>
      <c r="AE41" t="s">
        <v>6</v>
      </c>
      <c r="AG41">
        <v>6.9</v>
      </c>
      <c r="AH41">
        <v>0.27</v>
      </c>
      <c r="AI41" t="s">
        <v>15</v>
      </c>
    </row>
    <row r="42" spans="1:35" x14ac:dyDescent="0.2">
      <c r="A42" s="5">
        <v>41</v>
      </c>
      <c r="B42" s="6">
        <v>45245</v>
      </c>
      <c r="C42" s="7" t="s">
        <v>7</v>
      </c>
      <c r="D42" s="7">
        <v>57.7</v>
      </c>
      <c r="E42" s="7">
        <v>51.5</v>
      </c>
      <c r="F42" s="7"/>
      <c r="G42" s="8" t="s">
        <v>37</v>
      </c>
      <c r="J42" s="32">
        <v>45799</v>
      </c>
      <c r="K42" s="17">
        <v>14</v>
      </c>
      <c r="L42" s="17">
        <v>3</v>
      </c>
      <c r="M42" s="17">
        <v>1</v>
      </c>
      <c r="N42" s="17">
        <v>1</v>
      </c>
      <c r="O42" s="17">
        <v>8</v>
      </c>
      <c r="P42" s="17">
        <v>2</v>
      </c>
      <c r="Q42" s="17">
        <v>5</v>
      </c>
      <c r="R42" s="17">
        <v>0</v>
      </c>
      <c r="S42" s="15">
        <v>0</v>
      </c>
      <c r="U42">
        <v>41</v>
      </c>
      <c r="V42" s="1">
        <v>45392</v>
      </c>
      <c r="W42" t="s">
        <v>7</v>
      </c>
      <c r="X42">
        <v>58.7</v>
      </c>
      <c r="Y42">
        <v>52.4</v>
      </c>
      <c r="Z42">
        <v>0.08</v>
      </c>
      <c r="AA42" t="s">
        <v>37</v>
      </c>
      <c r="AC42">
        <v>41</v>
      </c>
      <c r="AD42" s="1">
        <v>45665</v>
      </c>
      <c r="AE42" t="s">
        <v>6</v>
      </c>
      <c r="AG42">
        <v>9.8000000000000007</v>
      </c>
      <c r="AI42" t="s">
        <v>38</v>
      </c>
    </row>
    <row r="43" spans="1:35" x14ac:dyDescent="0.2">
      <c r="A43" s="9">
        <v>42</v>
      </c>
      <c r="B43" s="1">
        <v>45245</v>
      </c>
      <c r="C43" t="s">
        <v>7</v>
      </c>
      <c r="D43">
        <v>63.4</v>
      </c>
      <c r="E43">
        <v>56.6</v>
      </c>
      <c r="G43" s="10" t="s">
        <v>37</v>
      </c>
      <c r="J43" s="32">
        <v>45819</v>
      </c>
      <c r="K43" s="17">
        <v>4</v>
      </c>
      <c r="L43" s="17">
        <v>1</v>
      </c>
      <c r="M43" s="17">
        <v>1</v>
      </c>
      <c r="N43" s="17">
        <v>1</v>
      </c>
      <c r="O43" s="17">
        <v>2</v>
      </c>
      <c r="P43" s="17">
        <v>0</v>
      </c>
      <c r="Q43" s="17">
        <v>1</v>
      </c>
      <c r="R43" s="17">
        <v>0</v>
      </c>
      <c r="S43" s="15">
        <v>2</v>
      </c>
      <c r="U43">
        <v>42</v>
      </c>
      <c r="V43" s="1">
        <v>45462</v>
      </c>
      <c r="W43" t="s">
        <v>7</v>
      </c>
      <c r="X43">
        <v>69.400000000000006</v>
      </c>
      <c r="Y43">
        <v>62</v>
      </c>
      <c r="Z43">
        <v>0.17</v>
      </c>
      <c r="AA43" t="s">
        <v>37</v>
      </c>
      <c r="AC43">
        <v>42</v>
      </c>
      <c r="AD43" s="1">
        <v>45665</v>
      </c>
      <c r="AE43" t="s">
        <v>6</v>
      </c>
      <c r="AG43">
        <v>6.8</v>
      </c>
      <c r="AH43">
        <v>0.21</v>
      </c>
      <c r="AI43" t="s">
        <v>15</v>
      </c>
    </row>
    <row r="44" spans="1:35" x14ac:dyDescent="0.2">
      <c r="A44" s="9">
        <v>43</v>
      </c>
      <c r="B44" s="1">
        <v>45245</v>
      </c>
      <c r="C44" t="s">
        <v>7</v>
      </c>
      <c r="D44">
        <v>71.599999999999994</v>
      </c>
      <c r="E44">
        <v>63.9</v>
      </c>
      <c r="G44" s="10" t="s">
        <v>37</v>
      </c>
      <c r="J44" s="32">
        <v>45833</v>
      </c>
      <c r="K44" s="17">
        <v>12</v>
      </c>
      <c r="L44" s="17">
        <v>3</v>
      </c>
      <c r="M44" s="17">
        <v>2</v>
      </c>
      <c r="N44" s="17">
        <v>2</v>
      </c>
      <c r="O44" s="17">
        <v>7</v>
      </c>
      <c r="P44" s="17">
        <v>1</v>
      </c>
      <c r="Q44" s="17">
        <v>3</v>
      </c>
      <c r="R44" s="17">
        <v>0</v>
      </c>
      <c r="S44" s="15">
        <v>0</v>
      </c>
      <c r="U44">
        <v>43</v>
      </c>
      <c r="V44" s="1">
        <v>45462</v>
      </c>
      <c r="W44" t="s">
        <v>7</v>
      </c>
      <c r="X44">
        <v>69</v>
      </c>
      <c r="Y44">
        <v>61.6</v>
      </c>
      <c r="Z44">
        <v>0.2</v>
      </c>
      <c r="AA44" t="s">
        <v>37</v>
      </c>
      <c r="AC44">
        <v>43</v>
      </c>
      <c r="AD44" s="1">
        <v>45665</v>
      </c>
      <c r="AE44" t="s">
        <v>6</v>
      </c>
      <c r="AG44">
        <v>5.6</v>
      </c>
      <c r="AH44">
        <v>0.56999999999999995</v>
      </c>
      <c r="AI44" t="s">
        <v>15</v>
      </c>
    </row>
    <row r="45" spans="1:35" ht="17" thickBot="1" x14ac:dyDescent="0.25">
      <c r="A45" s="11">
        <v>44</v>
      </c>
      <c r="B45" s="12">
        <v>45245</v>
      </c>
      <c r="C45" s="13" t="s">
        <v>7</v>
      </c>
      <c r="D45" s="13">
        <v>64.400000000000006</v>
      </c>
      <c r="E45" s="13">
        <v>57.5</v>
      </c>
      <c r="F45" s="13"/>
      <c r="G45" s="14" t="s">
        <v>37</v>
      </c>
      <c r="J45" s="32">
        <v>45847</v>
      </c>
      <c r="K45" s="17">
        <v>14</v>
      </c>
      <c r="L45" s="17">
        <v>6</v>
      </c>
      <c r="M45" s="17">
        <v>3</v>
      </c>
      <c r="N45" s="17">
        <v>3</v>
      </c>
      <c r="O45" s="17">
        <v>9</v>
      </c>
      <c r="P45" s="17">
        <v>3</v>
      </c>
      <c r="Q45" s="17">
        <v>2</v>
      </c>
      <c r="R45" s="17">
        <v>0</v>
      </c>
      <c r="S45" s="15">
        <v>3</v>
      </c>
      <c r="U45">
        <v>44</v>
      </c>
      <c r="V45" s="1">
        <v>45462</v>
      </c>
      <c r="W45" t="s">
        <v>7</v>
      </c>
      <c r="X45">
        <v>44</v>
      </c>
      <c r="Y45">
        <v>39.299999999999997</v>
      </c>
      <c r="Z45">
        <v>0.14000000000000001</v>
      </c>
      <c r="AA45" t="s">
        <v>18</v>
      </c>
      <c r="AC45">
        <v>44</v>
      </c>
      <c r="AD45" s="1">
        <v>45665</v>
      </c>
      <c r="AE45" t="s">
        <v>6</v>
      </c>
      <c r="AG45">
        <v>12.8</v>
      </c>
      <c r="AH45">
        <v>0.15</v>
      </c>
      <c r="AI45" t="s">
        <v>38</v>
      </c>
    </row>
    <row r="46" spans="1:35" x14ac:dyDescent="0.2">
      <c r="A46" s="5">
        <v>45</v>
      </c>
      <c r="B46" s="6">
        <v>45315</v>
      </c>
      <c r="C46" s="7" t="s">
        <v>7</v>
      </c>
      <c r="D46" s="7">
        <v>46.3</v>
      </c>
      <c r="E46" s="7">
        <v>31.3</v>
      </c>
      <c r="F46" s="7">
        <v>0.2</v>
      </c>
      <c r="G46" s="8" t="s">
        <v>57</v>
      </c>
      <c r="J46" s="32">
        <v>45861</v>
      </c>
      <c r="K46" s="17">
        <v>9</v>
      </c>
      <c r="L46" s="17">
        <v>2</v>
      </c>
      <c r="M46" s="17">
        <v>0</v>
      </c>
      <c r="N46" s="17">
        <v>0</v>
      </c>
      <c r="O46" s="17">
        <v>6</v>
      </c>
      <c r="P46" s="17">
        <v>2</v>
      </c>
      <c r="Q46" s="17">
        <v>3</v>
      </c>
      <c r="R46" s="17">
        <v>0</v>
      </c>
      <c r="S46" s="15">
        <v>0</v>
      </c>
      <c r="U46">
        <v>45</v>
      </c>
      <c r="V46" s="1">
        <v>45483</v>
      </c>
      <c r="W46" t="s">
        <v>7</v>
      </c>
      <c r="X46">
        <v>56.5</v>
      </c>
      <c r="Y46">
        <v>50.4</v>
      </c>
      <c r="Z46">
        <v>0.13</v>
      </c>
      <c r="AA46" t="s">
        <v>57</v>
      </c>
      <c r="AC46">
        <v>45</v>
      </c>
      <c r="AD46" s="1">
        <v>45665</v>
      </c>
      <c r="AE46" t="s">
        <v>6</v>
      </c>
      <c r="AG46">
        <v>7.6</v>
      </c>
      <c r="AH46">
        <v>0.5</v>
      </c>
      <c r="AI46" t="s">
        <v>15</v>
      </c>
    </row>
    <row r="47" spans="1:35" x14ac:dyDescent="0.2">
      <c r="A47" s="9">
        <v>46</v>
      </c>
      <c r="B47" s="1">
        <v>45315</v>
      </c>
      <c r="C47" t="s">
        <v>7</v>
      </c>
      <c r="D47">
        <v>66.5</v>
      </c>
      <c r="E47">
        <v>59.4</v>
      </c>
      <c r="F47">
        <v>0.1</v>
      </c>
      <c r="G47" s="10" t="s">
        <v>58</v>
      </c>
      <c r="J47" s="32">
        <v>45889</v>
      </c>
      <c r="K47" s="17">
        <v>7</v>
      </c>
      <c r="L47" s="17">
        <v>4</v>
      </c>
      <c r="M47" s="17">
        <v>4</v>
      </c>
      <c r="N47" s="17">
        <v>4</v>
      </c>
      <c r="O47" s="17">
        <v>2</v>
      </c>
      <c r="P47" s="17">
        <v>0</v>
      </c>
      <c r="Q47" s="17">
        <v>1</v>
      </c>
      <c r="R47" s="17">
        <v>0</v>
      </c>
      <c r="S47" s="15">
        <v>0</v>
      </c>
      <c r="U47">
        <v>46</v>
      </c>
      <c r="V47" s="1">
        <v>45483</v>
      </c>
      <c r="W47" t="s">
        <v>7</v>
      </c>
      <c r="X47">
        <v>68.2</v>
      </c>
      <c r="Y47">
        <v>60.9</v>
      </c>
      <c r="Z47">
        <v>0.17</v>
      </c>
      <c r="AA47" t="s">
        <v>37</v>
      </c>
      <c r="AC47">
        <v>46</v>
      </c>
      <c r="AD47" s="1">
        <v>45679</v>
      </c>
      <c r="AE47" t="s">
        <v>6</v>
      </c>
      <c r="AG47">
        <v>12.1</v>
      </c>
      <c r="AI47" t="s">
        <v>38</v>
      </c>
    </row>
    <row r="48" spans="1:35" x14ac:dyDescent="0.2">
      <c r="A48" s="9">
        <v>47</v>
      </c>
      <c r="B48" s="1">
        <v>45315</v>
      </c>
      <c r="C48" t="s">
        <v>7</v>
      </c>
      <c r="D48">
        <v>65.2</v>
      </c>
      <c r="E48">
        <v>58.2</v>
      </c>
      <c r="F48">
        <v>0.15</v>
      </c>
      <c r="G48" s="10" t="s">
        <v>57</v>
      </c>
      <c r="J48" s="32">
        <v>45903</v>
      </c>
      <c r="K48" s="17">
        <v>9</v>
      </c>
      <c r="L48" s="17">
        <v>2</v>
      </c>
      <c r="M48" s="17">
        <v>2</v>
      </c>
      <c r="N48" s="17">
        <v>2</v>
      </c>
      <c r="O48" s="17">
        <v>3</v>
      </c>
      <c r="P48" s="17">
        <v>0</v>
      </c>
      <c r="Q48" s="17">
        <v>4</v>
      </c>
      <c r="R48" s="17">
        <v>0</v>
      </c>
      <c r="S48" s="15">
        <v>1</v>
      </c>
      <c r="U48">
        <v>47</v>
      </c>
      <c r="V48" s="1">
        <v>45483</v>
      </c>
      <c r="W48" t="s">
        <v>7</v>
      </c>
      <c r="X48">
        <v>73.099999999999994</v>
      </c>
      <c r="Y48">
        <v>65.3</v>
      </c>
      <c r="Z48">
        <v>0.5</v>
      </c>
      <c r="AA48" t="s">
        <v>37</v>
      </c>
      <c r="AC48">
        <v>47</v>
      </c>
      <c r="AD48" s="1">
        <v>45679</v>
      </c>
      <c r="AE48" t="s">
        <v>6</v>
      </c>
      <c r="AG48">
        <v>12.9</v>
      </c>
      <c r="AI48" t="s">
        <v>38</v>
      </c>
    </row>
    <row r="49" spans="1:35" x14ac:dyDescent="0.2">
      <c r="A49" s="9">
        <v>48</v>
      </c>
      <c r="B49" s="1">
        <v>45315</v>
      </c>
      <c r="C49" t="s">
        <v>7</v>
      </c>
      <c r="D49">
        <v>60.9</v>
      </c>
      <c r="E49">
        <v>54.4</v>
      </c>
      <c r="F49">
        <v>0.08</v>
      </c>
      <c r="G49" s="10" t="s">
        <v>18</v>
      </c>
      <c r="J49" s="32">
        <v>45917</v>
      </c>
      <c r="K49" s="17">
        <v>12</v>
      </c>
      <c r="L49" s="17">
        <v>2</v>
      </c>
      <c r="M49" s="17">
        <v>1</v>
      </c>
      <c r="N49" s="17">
        <v>1</v>
      </c>
      <c r="O49" s="17">
        <v>5</v>
      </c>
      <c r="P49" s="17">
        <v>2</v>
      </c>
      <c r="Q49" s="17">
        <v>6</v>
      </c>
      <c r="R49" s="17">
        <v>0</v>
      </c>
      <c r="S49" s="15">
        <v>0</v>
      </c>
      <c r="U49">
        <v>48</v>
      </c>
      <c r="V49" s="1">
        <v>45483</v>
      </c>
      <c r="W49" t="s">
        <v>7</v>
      </c>
      <c r="X49">
        <v>64.3</v>
      </c>
      <c r="Y49">
        <v>57.4</v>
      </c>
      <c r="Z49">
        <v>0.19</v>
      </c>
      <c r="AA49" t="s">
        <v>37</v>
      </c>
      <c r="AC49">
        <v>48</v>
      </c>
      <c r="AD49" s="1">
        <v>45679</v>
      </c>
      <c r="AE49" t="s">
        <v>6</v>
      </c>
      <c r="AG49">
        <v>12.8</v>
      </c>
      <c r="AI49" t="s">
        <v>38</v>
      </c>
    </row>
    <row r="50" spans="1:35" ht="17" thickBot="1" x14ac:dyDescent="0.25">
      <c r="A50" s="11">
        <v>49</v>
      </c>
      <c r="B50" s="12">
        <v>45315</v>
      </c>
      <c r="C50" s="13" t="s">
        <v>7</v>
      </c>
      <c r="D50" s="13">
        <v>63.1</v>
      </c>
      <c r="E50" s="13">
        <v>56.3</v>
      </c>
      <c r="F50" s="13">
        <v>0.24</v>
      </c>
      <c r="G50" s="14" t="s">
        <v>18</v>
      </c>
      <c r="J50" s="32">
        <v>45931</v>
      </c>
      <c r="K50" s="17">
        <v>11</v>
      </c>
      <c r="L50" s="17">
        <v>3</v>
      </c>
      <c r="M50" s="17">
        <v>2</v>
      </c>
      <c r="N50" s="17">
        <v>2</v>
      </c>
      <c r="O50" s="17">
        <v>5</v>
      </c>
      <c r="P50" s="17">
        <v>1</v>
      </c>
      <c r="Q50" s="17">
        <v>4</v>
      </c>
      <c r="R50" s="17">
        <v>0</v>
      </c>
      <c r="S50" s="15">
        <v>0</v>
      </c>
      <c r="U50">
        <v>49</v>
      </c>
      <c r="V50" s="1">
        <v>45483</v>
      </c>
      <c r="W50" t="s">
        <v>7</v>
      </c>
      <c r="X50">
        <v>69.400000000000006</v>
      </c>
      <c r="Y50">
        <v>62</v>
      </c>
      <c r="Z50">
        <v>0.19</v>
      </c>
      <c r="AA50" t="s">
        <v>37</v>
      </c>
      <c r="AC50">
        <v>49</v>
      </c>
      <c r="AD50" s="1">
        <v>45679</v>
      </c>
      <c r="AE50" t="s">
        <v>6</v>
      </c>
      <c r="AG50">
        <v>11.5</v>
      </c>
      <c r="AH50">
        <v>0.11</v>
      </c>
      <c r="AI50" t="s">
        <v>15</v>
      </c>
    </row>
    <row r="51" spans="1:35" x14ac:dyDescent="0.2">
      <c r="A51" s="5">
        <v>50</v>
      </c>
      <c r="B51" s="6">
        <v>45352</v>
      </c>
      <c r="C51" s="7" t="s">
        <v>7</v>
      </c>
      <c r="D51" s="7">
        <v>61.8</v>
      </c>
      <c r="E51" s="7">
        <v>55.2</v>
      </c>
      <c r="F51" s="7">
        <v>0.14000000000000001</v>
      </c>
      <c r="G51" s="8" t="s">
        <v>18</v>
      </c>
      <c r="J51" s="32">
        <v>45945</v>
      </c>
      <c r="K51" s="17">
        <v>11</v>
      </c>
      <c r="L51" s="17">
        <v>2</v>
      </c>
      <c r="M51" s="17">
        <v>1</v>
      </c>
      <c r="N51" s="17">
        <v>1</v>
      </c>
      <c r="O51" s="17">
        <v>6</v>
      </c>
      <c r="P51" s="17">
        <v>1</v>
      </c>
      <c r="Q51" s="17">
        <v>4</v>
      </c>
      <c r="R51" s="17">
        <v>0</v>
      </c>
      <c r="S51" s="15">
        <v>0</v>
      </c>
      <c r="U51">
        <v>50</v>
      </c>
      <c r="V51" s="1">
        <v>45518</v>
      </c>
      <c r="W51" t="s">
        <v>7</v>
      </c>
      <c r="X51">
        <v>56.1</v>
      </c>
      <c r="Y51">
        <v>50.1</v>
      </c>
      <c r="Z51">
        <v>0.24</v>
      </c>
      <c r="AA51" t="s">
        <v>37</v>
      </c>
      <c r="AC51">
        <v>50</v>
      </c>
      <c r="AD51" s="35">
        <v>45693</v>
      </c>
      <c r="AE51" s="36" t="s">
        <v>6</v>
      </c>
      <c r="AF51" s="36"/>
      <c r="AG51" s="36">
        <v>12.3</v>
      </c>
      <c r="AH51" s="36"/>
      <c r="AI51" s="36" t="s">
        <v>38</v>
      </c>
    </row>
    <row r="52" spans="1:35" x14ac:dyDescent="0.2">
      <c r="A52" s="9">
        <v>51</v>
      </c>
      <c r="B52" s="1">
        <v>45352</v>
      </c>
      <c r="C52" t="s">
        <v>7</v>
      </c>
      <c r="D52">
        <v>61.5</v>
      </c>
      <c r="E52">
        <v>54.9</v>
      </c>
      <c r="F52">
        <v>0.18</v>
      </c>
      <c r="G52" s="10" t="s">
        <v>37</v>
      </c>
      <c r="J52" s="32">
        <v>45959</v>
      </c>
      <c r="K52" s="17">
        <v>4</v>
      </c>
      <c r="L52" s="17">
        <v>2</v>
      </c>
      <c r="M52" s="17">
        <v>2</v>
      </c>
      <c r="N52" s="17">
        <v>2</v>
      </c>
      <c r="O52" s="17">
        <v>1</v>
      </c>
      <c r="P52" s="17">
        <v>0</v>
      </c>
      <c r="Q52" s="17">
        <v>1</v>
      </c>
      <c r="R52" s="17">
        <v>0</v>
      </c>
      <c r="S52" s="15">
        <v>0</v>
      </c>
      <c r="U52">
        <v>51</v>
      </c>
      <c r="V52" s="1">
        <v>45518</v>
      </c>
      <c r="W52" t="s">
        <v>7</v>
      </c>
      <c r="X52">
        <v>52.4</v>
      </c>
      <c r="Y52">
        <v>46.8</v>
      </c>
      <c r="Z52">
        <v>0.17</v>
      </c>
      <c r="AA52" t="s">
        <v>37</v>
      </c>
      <c r="AC52">
        <v>51</v>
      </c>
      <c r="AD52" s="35">
        <v>45693</v>
      </c>
      <c r="AE52" s="36" t="s">
        <v>6</v>
      </c>
      <c r="AF52" s="36"/>
      <c r="AG52" s="36">
        <v>13.1</v>
      </c>
      <c r="AH52" s="36"/>
      <c r="AI52" s="36" t="s">
        <v>38</v>
      </c>
    </row>
    <row r="53" spans="1:35" x14ac:dyDescent="0.2">
      <c r="A53" s="9">
        <v>52</v>
      </c>
      <c r="B53" s="1">
        <v>45352</v>
      </c>
      <c r="C53" t="s">
        <v>7</v>
      </c>
      <c r="D53">
        <v>70.400000000000006</v>
      </c>
      <c r="E53">
        <v>62.8</v>
      </c>
      <c r="F53">
        <v>0.15</v>
      </c>
      <c r="G53" s="10" t="s">
        <v>37</v>
      </c>
      <c r="J53" s="32">
        <v>45973</v>
      </c>
      <c r="K53" s="17">
        <v>8</v>
      </c>
      <c r="L53" s="17">
        <v>4</v>
      </c>
      <c r="M53" s="17">
        <v>3</v>
      </c>
      <c r="N53" s="17">
        <v>3</v>
      </c>
      <c r="O53" s="17">
        <v>3</v>
      </c>
      <c r="P53" s="17">
        <v>1</v>
      </c>
      <c r="Q53" s="17">
        <v>2</v>
      </c>
      <c r="R53" s="17">
        <v>0</v>
      </c>
      <c r="S53" s="15">
        <v>5</v>
      </c>
      <c r="U53">
        <v>52</v>
      </c>
      <c r="V53" s="1">
        <v>45518</v>
      </c>
      <c r="W53" t="s">
        <v>7</v>
      </c>
      <c r="X53">
        <v>55.6</v>
      </c>
      <c r="Y53">
        <v>49.6</v>
      </c>
      <c r="Z53">
        <v>0.19</v>
      </c>
      <c r="AA53" t="s">
        <v>37</v>
      </c>
      <c r="AC53">
        <v>52</v>
      </c>
      <c r="AD53" s="35">
        <v>45693</v>
      </c>
      <c r="AE53" s="36" t="s">
        <v>6</v>
      </c>
      <c r="AF53" s="36"/>
      <c r="AG53" s="36">
        <v>11.2</v>
      </c>
      <c r="AH53" s="36"/>
      <c r="AI53" s="36" t="s">
        <v>38</v>
      </c>
    </row>
    <row r="54" spans="1:35" x14ac:dyDescent="0.2">
      <c r="A54" s="9">
        <v>53</v>
      </c>
      <c r="B54" s="1">
        <v>45352</v>
      </c>
      <c r="C54" t="s">
        <v>7</v>
      </c>
      <c r="D54">
        <v>75.7</v>
      </c>
      <c r="E54">
        <v>67.599999999999994</v>
      </c>
      <c r="F54">
        <v>0.17</v>
      </c>
      <c r="G54" s="10" t="s">
        <v>37</v>
      </c>
      <c r="J54" s="32">
        <v>45987</v>
      </c>
      <c r="K54" s="17">
        <v>18</v>
      </c>
      <c r="L54" s="17">
        <v>4</v>
      </c>
      <c r="M54" s="17">
        <v>2</v>
      </c>
      <c r="N54" s="17">
        <v>2</v>
      </c>
      <c r="O54" s="17">
        <v>9</v>
      </c>
      <c r="P54" s="17">
        <v>2</v>
      </c>
      <c r="Q54" s="17">
        <v>4</v>
      </c>
      <c r="R54" s="17">
        <v>0</v>
      </c>
      <c r="S54" s="15">
        <v>3</v>
      </c>
      <c r="U54">
        <v>53</v>
      </c>
      <c r="V54" s="1">
        <v>45553</v>
      </c>
      <c r="W54" t="s">
        <v>7</v>
      </c>
      <c r="X54">
        <v>56</v>
      </c>
      <c r="Y54">
        <v>50</v>
      </c>
      <c r="Z54">
        <v>0.18</v>
      </c>
      <c r="AA54" t="s">
        <v>37</v>
      </c>
      <c r="AC54">
        <v>53</v>
      </c>
      <c r="AD54" s="35">
        <v>45693</v>
      </c>
      <c r="AE54" s="36" t="s">
        <v>6</v>
      </c>
      <c r="AF54" s="36"/>
      <c r="AG54" s="36">
        <v>9.9</v>
      </c>
      <c r="AH54" s="36"/>
      <c r="AI54" s="36" t="s">
        <v>38</v>
      </c>
    </row>
    <row r="55" spans="1:35" ht="17" thickBot="1" x14ac:dyDescent="0.25">
      <c r="A55" s="11">
        <v>54</v>
      </c>
      <c r="B55" s="12">
        <v>45352</v>
      </c>
      <c r="C55" s="13" t="s">
        <v>7</v>
      </c>
      <c r="D55" s="13">
        <v>76.2</v>
      </c>
      <c r="E55" s="13">
        <v>68</v>
      </c>
      <c r="F55" s="13"/>
      <c r="G55" s="14" t="s">
        <v>18</v>
      </c>
      <c r="J55" s="32">
        <v>46074</v>
      </c>
      <c r="K55" s="17">
        <v>12</v>
      </c>
      <c r="L55" s="17">
        <v>2</v>
      </c>
      <c r="M55" s="17">
        <v>2</v>
      </c>
      <c r="N55" s="17">
        <v>2</v>
      </c>
      <c r="O55" s="17">
        <v>5</v>
      </c>
      <c r="P55" s="17">
        <v>0</v>
      </c>
      <c r="Q55" s="17">
        <v>5</v>
      </c>
      <c r="R55" s="17">
        <v>0</v>
      </c>
      <c r="S55" s="15">
        <v>1</v>
      </c>
      <c r="U55">
        <v>54</v>
      </c>
      <c r="V55" s="1">
        <v>45553</v>
      </c>
      <c r="W55" t="s">
        <v>7</v>
      </c>
      <c r="X55">
        <v>42.9</v>
      </c>
      <c r="Y55">
        <v>38.299999999999997</v>
      </c>
      <c r="Z55">
        <v>0.13</v>
      </c>
      <c r="AA55" t="s">
        <v>37</v>
      </c>
      <c r="AC55">
        <v>54</v>
      </c>
      <c r="AD55" s="35">
        <v>45693</v>
      </c>
      <c r="AE55" s="36" t="s">
        <v>6</v>
      </c>
      <c r="AF55" s="36"/>
      <c r="AG55" s="36">
        <v>11.4</v>
      </c>
      <c r="AH55" s="36"/>
      <c r="AI55" s="36" t="s">
        <v>38</v>
      </c>
    </row>
    <row r="56" spans="1:35" x14ac:dyDescent="0.2">
      <c r="A56" s="5">
        <v>55</v>
      </c>
      <c r="B56" s="6">
        <v>45392</v>
      </c>
      <c r="C56" s="7" t="s">
        <v>7</v>
      </c>
      <c r="D56" s="7">
        <v>52.2</v>
      </c>
      <c r="E56" s="7">
        <v>46.6</v>
      </c>
      <c r="F56" s="7">
        <v>0.18</v>
      </c>
      <c r="G56" s="8" t="s">
        <v>18</v>
      </c>
      <c r="J56" s="32">
        <v>46057</v>
      </c>
      <c r="K56" s="17">
        <v>10</v>
      </c>
      <c r="L56" s="17">
        <v>2</v>
      </c>
      <c r="M56" s="17">
        <v>2</v>
      </c>
      <c r="N56" s="17">
        <v>2</v>
      </c>
      <c r="O56" s="17">
        <v>5</v>
      </c>
      <c r="P56" s="17">
        <v>0</v>
      </c>
      <c r="Q56" s="17">
        <v>3</v>
      </c>
      <c r="R56" s="17">
        <v>0</v>
      </c>
      <c r="S56" s="15">
        <v>0</v>
      </c>
      <c r="U56">
        <v>55</v>
      </c>
      <c r="V56" s="1">
        <v>45553</v>
      </c>
      <c r="W56" t="s">
        <v>7</v>
      </c>
      <c r="X56">
        <v>60.7</v>
      </c>
      <c r="Y56">
        <v>54.2</v>
      </c>
      <c r="Z56">
        <v>0.15</v>
      </c>
      <c r="AA56" t="s">
        <v>37</v>
      </c>
      <c r="AC56">
        <v>55</v>
      </c>
      <c r="AD56" s="35">
        <v>45693</v>
      </c>
      <c r="AE56" s="36" t="s">
        <v>6</v>
      </c>
      <c r="AF56" s="36"/>
      <c r="AG56" s="36">
        <v>13</v>
      </c>
      <c r="AH56" s="36">
        <v>0.08</v>
      </c>
      <c r="AI56" s="36" t="s">
        <v>38</v>
      </c>
    </row>
    <row r="57" spans="1:35" x14ac:dyDescent="0.2">
      <c r="A57" s="9">
        <v>56</v>
      </c>
      <c r="B57" s="1">
        <v>45392</v>
      </c>
      <c r="C57" t="s">
        <v>6</v>
      </c>
      <c r="E57">
        <v>14.7</v>
      </c>
      <c r="F57">
        <v>0.17</v>
      </c>
      <c r="G57" s="10" t="s">
        <v>38</v>
      </c>
      <c r="J57" s="32">
        <v>46085</v>
      </c>
      <c r="K57" s="17">
        <v>12</v>
      </c>
      <c r="L57" s="17">
        <v>3</v>
      </c>
      <c r="M57" s="17">
        <v>1</v>
      </c>
      <c r="N57" s="17">
        <v>1</v>
      </c>
      <c r="O57" s="17">
        <v>6</v>
      </c>
      <c r="P57" s="17">
        <v>2</v>
      </c>
      <c r="Q57" s="17">
        <v>5</v>
      </c>
      <c r="R57" s="17">
        <v>0</v>
      </c>
      <c r="S57" s="15">
        <v>0</v>
      </c>
      <c r="U57">
        <v>56</v>
      </c>
      <c r="V57" s="1">
        <v>45553</v>
      </c>
      <c r="W57" t="s">
        <v>7</v>
      </c>
      <c r="X57">
        <v>68.7</v>
      </c>
      <c r="Y57">
        <v>61.3</v>
      </c>
      <c r="Z57">
        <v>0.18</v>
      </c>
      <c r="AA57" t="s">
        <v>37</v>
      </c>
      <c r="AC57">
        <v>56</v>
      </c>
      <c r="AD57" s="1">
        <v>45721</v>
      </c>
      <c r="AE57" t="s">
        <v>6</v>
      </c>
      <c r="AG57">
        <v>9.6999999999999993</v>
      </c>
      <c r="AI57" t="s">
        <v>38</v>
      </c>
    </row>
    <row r="58" spans="1:35" x14ac:dyDescent="0.2">
      <c r="A58" s="9">
        <v>57</v>
      </c>
      <c r="B58" s="1">
        <v>45392</v>
      </c>
      <c r="C58" t="s">
        <v>6</v>
      </c>
      <c r="E58">
        <v>14.6</v>
      </c>
      <c r="F58">
        <v>0.19</v>
      </c>
      <c r="G58" s="10" t="s">
        <v>38</v>
      </c>
      <c r="J58" s="32">
        <v>46099</v>
      </c>
      <c r="K58" s="17">
        <v>11</v>
      </c>
      <c r="L58" s="17">
        <v>3</v>
      </c>
      <c r="M58" s="17">
        <v>1</v>
      </c>
      <c r="N58" s="17">
        <v>1</v>
      </c>
      <c r="O58" s="17">
        <v>8</v>
      </c>
      <c r="P58" s="17">
        <v>2</v>
      </c>
      <c r="Q58" s="17">
        <v>2</v>
      </c>
      <c r="R58" s="17">
        <v>0</v>
      </c>
      <c r="S58" s="15">
        <v>0</v>
      </c>
      <c r="U58">
        <v>57</v>
      </c>
      <c r="V58" s="1">
        <v>45553</v>
      </c>
      <c r="W58" t="s">
        <v>7</v>
      </c>
      <c r="X58">
        <v>66.3</v>
      </c>
      <c r="Y58">
        <v>59.2</v>
      </c>
      <c r="Z58">
        <v>0.14000000000000001</v>
      </c>
      <c r="AA58" t="s">
        <v>37</v>
      </c>
      <c r="AC58">
        <v>57</v>
      </c>
      <c r="AD58" s="1">
        <v>45721</v>
      </c>
      <c r="AE58" t="s">
        <v>6</v>
      </c>
      <c r="AG58" s="20">
        <v>10.5</v>
      </c>
      <c r="AI58" t="s">
        <v>38</v>
      </c>
    </row>
    <row r="59" spans="1:35" x14ac:dyDescent="0.2">
      <c r="A59" s="9">
        <v>58</v>
      </c>
      <c r="B59" s="1">
        <v>45392</v>
      </c>
      <c r="C59" t="s">
        <v>6</v>
      </c>
      <c r="E59">
        <v>14.5</v>
      </c>
      <c r="F59">
        <v>0.2</v>
      </c>
      <c r="G59" s="10" t="s">
        <v>38</v>
      </c>
      <c r="J59" s="32">
        <v>46113</v>
      </c>
      <c r="K59" s="17">
        <v>21</v>
      </c>
      <c r="L59" s="17">
        <v>3</v>
      </c>
      <c r="M59" s="17">
        <v>2</v>
      </c>
      <c r="N59" s="17">
        <v>2</v>
      </c>
      <c r="O59" s="17">
        <v>10</v>
      </c>
      <c r="P59" s="17">
        <v>1</v>
      </c>
      <c r="Q59" s="17">
        <v>8</v>
      </c>
      <c r="R59" s="17">
        <v>0</v>
      </c>
      <c r="S59" s="15">
        <v>1</v>
      </c>
      <c r="U59">
        <v>58</v>
      </c>
      <c r="V59" s="1">
        <v>45553</v>
      </c>
      <c r="W59" t="s">
        <v>7</v>
      </c>
      <c r="X59">
        <v>66.599999999999994</v>
      </c>
      <c r="Y59">
        <v>59.5</v>
      </c>
      <c r="Z59">
        <v>0.32</v>
      </c>
      <c r="AA59" t="s">
        <v>37</v>
      </c>
      <c r="AC59">
        <v>58</v>
      </c>
      <c r="AD59" s="35">
        <v>45735</v>
      </c>
      <c r="AE59" s="36" t="s">
        <v>6</v>
      </c>
      <c r="AF59" s="36"/>
      <c r="AG59" s="36">
        <v>9.1</v>
      </c>
      <c r="AH59" s="36"/>
      <c r="AI59" s="36" t="s">
        <v>38</v>
      </c>
    </row>
    <row r="60" spans="1:35" x14ac:dyDescent="0.2">
      <c r="A60" s="9">
        <v>59</v>
      </c>
      <c r="B60" s="1">
        <v>45392</v>
      </c>
      <c r="C60" t="s">
        <v>7</v>
      </c>
      <c r="D60">
        <v>74.5</v>
      </c>
      <c r="E60">
        <v>66.5</v>
      </c>
      <c r="F60">
        <v>0.15</v>
      </c>
      <c r="G60" s="10" t="s">
        <v>37</v>
      </c>
      <c r="J60" s="32"/>
      <c r="K60" s="17"/>
      <c r="L60" s="17"/>
      <c r="M60" s="17"/>
      <c r="N60" s="17"/>
      <c r="O60" s="17"/>
      <c r="P60" s="17"/>
      <c r="Q60" s="17"/>
      <c r="R60" s="17"/>
      <c r="S60" s="15"/>
      <c r="U60">
        <v>59</v>
      </c>
      <c r="V60" s="1">
        <v>45553</v>
      </c>
      <c r="W60" t="s">
        <v>7</v>
      </c>
      <c r="X60">
        <v>64.900000000000006</v>
      </c>
      <c r="Y60">
        <v>57.9</v>
      </c>
      <c r="Z60">
        <v>0.15</v>
      </c>
      <c r="AA60" t="s">
        <v>37</v>
      </c>
      <c r="AC60">
        <v>59</v>
      </c>
      <c r="AD60" s="1">
        <v>45763</v>
      </c>
      <c r="AE60" t="s">
        <v>6</v>
      </c>
      <c r="AG60">
        <v>12.3</v>
      </c>
      <c r="AI60" t="s">
        <v>38</v>
      </c>
    </row>
    <row r="61" spans="1:35" x14ac:dyDescent="0.2">
      <c r="A61" s="9">
        <v>60</v>
      </c>
      <c r="B61" s="1">
        <v>45392</v>
      </c>
      <c r="C61" t="s">
        <v>7</v>
      </c>
      <c r="D61">
        <v>58.7</v>
      </c>
      <c r="E61">
        <v>52.4</v>
      </c>
      <c r="F61">
        <v>0.08</v>
      </c>
      <c r="G61" s="10" t="s">
        <v>37</v>
      </c>
      <c r="J61" s="32"/>
      <c r="K61" s="17"/>
      <c r="L61" s="17"/>
      <c r="M61" s="17"/>
      <c r="N61" s="17"/>
      <c r="O61" s="17"/>
      <c r="P61" s="17"/>
      <c r="Q61" s="17"/>
      <c r="R61" s="17"/>
      <c r="S61" s="15"/>
      <c r="U61">
        <v>60</v>
      </c>
      <c r="V61" s="1">
        <v>45567</v>
      </c>
      <c r="W61" t="s">
        <v>7</v>
      </c>
      <c r="X61">
        <v>63.4</v>
      </c>
      <c r="Y61">
        <v>56.6</v>
      </c>
      <c r="Z61">
        <v>0.2</v>
      </c>
      <c r="AA61" t="s">
        <v>37</v>
      </c>
      <c r="AC61">
        <v>60</v>
      </c>
      <c r="AD61" s="1">
        <v>45763</v>
      </c>
      <c r="AE61" t="s">
        <v>6</v>
      </c>
      <c r="AG61">
        <v>12.4</v>
      </c>
      <c r="AI61" t="s">
        <v>38</v>
      </c>
    </row>
    <row r="62" spans="1:35" ht="17" thickBot="1" x14ac:dyDescent="0.25">
      <c r="A62" s="11">
        <v>61</v>
      </c>
      <c r="B62" s="12">
        <v>45392</v>
      </c>
      <c r="C62" s="13" t="s">
        <v>6</v>
      </c>
      <c r="D62" s="13"/>
      <c r="E62" s="13">
        <v>15.8</v>
      </c>
      <c r="F62" s="13">
        <v>0.16</v>
      </c>
      <c r="G62" s="14" t="s">
        <v>38</v>
      </c>
      <c r="J62" s="32"/>
      <c r="K62" s="17"/>
      <c r="L62" s="17"/>
      <c r="M62" s="17"/>
      <c r="N62" s="17"/>
      <c r="O62" s="17"/>
      <c r="P62" s="17"/>
      <c r="Q62" s="17"/>
      <c r="R62" s="17"/>
      <c r="S62" s="15"/>
      <c r="U62">
        <v>61</v>
      </c>
      <c r="V62" s="1">
        <v>45567</v>
      </c>
      <c r="W62" t="s">
        <v>7</v>
      </c>
      <c r="X62">
        <v>70.5</v>
      </c>
      <c r="Y62">
        <v>62.9</v>
      </c>
      <c r="Z62">
        <v>0.19</v>
      </c>
      <c r="AA62" t="s">
        <v>37</v>
      </c>
      <c r="AC62">
        <v>61</v>
      </c>
      <c r="AD62" s="1">
        <v>45777</v>
      </c>
      <c r="AE62" t="s">
        <v>6</v>
      </c>
      <c r="AG62">
        <v>11.3</v>
      </c>
      <c r="AH62">
        <v>0.36</v>
      </c>
      <c r="AI62" t="s">
        <v>38</v>
      </c>
    </row>
    <row r="63" spans="1:35" x14ac:dyDescent="0.2">
      <c r="A63" s="5">
        <v>62</v>
      </c>
      <c r="B63" s="6">
        <v>45462</v>
      </c>
      <c r="C63" s="7" t="s">
        <v>6</v>
      </c>
      <c r="D63" s="7">
        <v>16.600000000000001</v>
      </c>
      <c r="E63" s="7">
        <v>15.1</v>
      </c>
      <c r="F63" s="7"/>
      <c r="G63" s="8" t="s">
        <v>38</v>
      </c>
      <c r="J63" s="32"/>
      <c r="K63" s="17"/>
      <c r="L63" s="17"/>
      <c r="M63" s="17"/>
      <c r="N63" s="17"/>
      <c r="O63" s="17"/>
      <c r="P63" s="17"/>
      <c r="Q63" s="17"/>
      <c r="R63" s="17"/>
      <c r="S63" s="15"/>
      <c r="U63">
        <v>62</v>
      </c>
      <c r="V63" s="1">
        <v>45581</v>
      </c>
      <c r="W63" t="s">
        <v>7</v>
      </c>
      <c r="X63">
        <v>67</v>
      </c>
      <c r="Y63">
        <v>59.8</v>
      </c>
      <c r="Z63">
        <v>0.17</v>
      </c>
      <c r="AA63" t="s">
        <v>37</v>
      </c>
      <c r="AC63">
        <v>62</v>
      </c>
      <c r="AD63" s="1">
        <v>45777</v>
      </c>
      <c r="AE63" t="s">
        <v>6</v>
      </c>
      <c r="AG63">
        <v>16.100000000000001</v>
      </c>
      <c r="AH63">
        <v>0.12</v>
      </c>
      <c r="AI63" t="s">
        <v>38</v>
      </c>
    </row>
    <row r="64" spans="1:35" x14ac:dyDescent="0.2">
      <c r="A64" s="9">
        <v>63</v>
      </c>
      <c r="B64" s="1">
        <v>45462</v>
      </c>
      <c r="C64" t="s">
        <v>7</v>
      </c>
      <c r="D64">
        <v>69.400000000000006</v>
      </c>
      <c r="E64">
        <v>62</v>
      </c>
      <c r="F64">
        <v>0.17</v>
      </c>
      <c r="G64" s="10" t="s">
        <v>37</v>
      </c>
      <c r="J64" s="32"/>
      <c r="K64" s="17"/>
      <c r="L64" s="17"/>
      <c r="M64" s="17"/>
      <c r="N64" s="17"/>
      <c r="O64" s="17"/>
      <c r="P64" s="17"/>
      <c r="Q64" s="17"/>
      <c r="R64" s="17"/>
      <c r="S64" s="15"/>
      <c r="U64">
        <v>63</v>
      </c>
      <c r="V64" s="1">
        <v>45581</v>
      </c>
      <c r="W64" t="s">
        <v>7</v>
      </c>
      <c r="X64">
        <v>67</v>
      </c>
      <c r="Y64">
        <v>59.8</v>
      </c>
      <c r="Z64">
        <v>0.15</v>
      </c>
      <c r="AA64" t="s">
        <v>37</v>
      </c>
      <c r="AC64">
        <v>63</v>
      </c>
      <c r="AD64" s="35">
        <v>45791</v>
      </c>
      <c r="AE64" s="36" t="s">
        <v>6</v>
      </c>
      <c r="AG64" s="36">
        <v>15.9</v>
      </c>
      <c r="AH64" s="36">
        <v>0.2</v>
      </c>
      <c r="AI64" s="36" t="s">
        <v>38</v>
      </c>
    </row>
    <row r="65" spans="1:35" x14ac:dyDescent="0.2">
      <c r="A65" s="9">
        <v>64</v>
      </c>
      <c r="B65" s="1">
        <v>45462</v>
      </c>
      <c r="C65" t="s">
        <v>7</v>
      </c>
      <c r="D65">
        <v>69</v>
      </c>
      <c r="E65">
        <v>61.6</v>
      </c>
      <c r="F65">
        <v>0.2</v>
      </c>
      <c r="G65" s="10" t="s">
        <v>37</v>
      </c>
      <c r="J65" s="32"/>
      <c r="K65" s="17"/>
      <c r="L65" s="17"/>
      <c r="M65" s="17"/>
      <c r="N65" s="17"/>
      <c r="O65" s="17"/>
      <c r="P65" s="17"/>
      <c r="Q65" s="17"/>
      <c r="R65" s="17"/>
      <c r="S65" s="15"/>
      <c r="U65">
        <v>64</v>
      </c>
      <c r="V65" s="1">
        <v>45581</v>
      </c>
      <c r="W65" t="s">
        <v>7</v>
      </c>
      <c r="X65">
        <v>66.7</v>
      </c>
      <c r="Y65">
        <v>59.5</v>
      </c>
      <c r="Z65">
        <v>0.17</v>
      </c>
      <c r="AA65" t="s">
        <v>37</v>
      </c>
      <c r="AC65">
        <v>64</v>
      </c>
      <c r="AD65" s="1">
        <v>45805</v>
      </c>
      <c r="AE65" t="s">
        <v>6</v>
      </c>
      <c r="AG65">
        <v>15.2</v>
      </c>
      <c r="AI65" t="s">
        <v>38</v>
      </c>
    </row>
    <row r="66" spans="1:35" ht="17" thickBot="1" x14ac:dyDescent="0.25">
      <c r="A66" s="9">
        <v>65</v>
      </c>
      <c r="B66" s="1">
        <v>45462</v>
      </c>
      <c r="C66" t="s">
        <v>7</v>
      </c>
      <c r="D66">
        <v>44</v>
      </c>
      <c r="E66">
        <v>39.299999999999997</v>
      </c>
      <c r="F66">
        <v>0.14000000000000001</v>
      </c>
      <c r="G66" s="10" t="s">
        <v>18</v>
      </c>
      <c r="J66" s="32"/>
      <c r="K66" s="17"/>
      <c r="L66" s="17"/>
      <c r="M66" s="17"/>
      <c r="N66" s="17"/>
      <c r="O66" s="17"/>
      <c r="P66" s="17"/>
      <c r="Q66" s="17"/>
      <c r="R66" s="17"/>
      <c r="S66" s="15"/>
      <c r="U66">
        <v>65</v>
      </c>
      <c r="V66" s="1">
        <v>45595</v>
      </c>
      <c r="W66" t="s">
        <v>7</v>
      </c>
      <c r="X66">
        <v>72.2</v>
      </c>
      <c r="Y66">
        <v>64.5</v>
      </c>
      <c r="Z66">
        <v>0.16</v>
      </c>
      <c r="AA66" t="s">
        <v>37</v>
      </c>
      <c r="AC66">
        <v>65</v>
      </c>
      <c r="AD66" s="1">
        <v>45819</v>
      </c>
      <c r="AE66" t="s">
        <v>6</v>
      </c>
      <c r="AG66">
        <v>13.2</v>
      </c>
      <c r="AH66">
        <v>0.1</v>
      </c>
      <c r="AI66" t="s">
        <v>38</v>
      </c>
    </row>
    <row r="67" spans="1:35" x14ac:dyDescent="0.2">
      <c r="A67" s="5">
        <v>66</v>
      </c>
      <c r="B67" s="6">
        <v>45483</v>
      </c>
      <c r="C67" s="7" t="s">
        <v>7</v>
      </c>
      <c r="D67" s="7">
        <v>56.5</v>
      </c>
      <c r="E67" s="7">
        <v>50.4</v>
      </c>
      <c r="F67" s="7">
        <v>0.13</v>
      </c>
      <c r="G67" s="8" t="s">
        <v>57</v>
      </c>
      <c r="J67" s="32"/>
      <c r="K67" s="17"/>
      <c r="L67" s="17"/>
      <c r="M67" s="17"/>
      <c r="N67" s="17"/>
      <c r="O67" s="17"/>
      <c r="P67" s="17"/>
      <c r="Q67" s="17"/>
      <c r="R67" s="17"/>
      <c r="S67" s="15"/>
      <c r="U67">
        <v>66</v>
      </c>
      <c r="V67" s="1">
        <v>45595</v>
      </c>
      <c r="W67" t="s">
        <v>7</v>
      </c>
      <c r="X67">
        <v>72.5</v>
      </c>
      <c r="Y67">
        <v>64.7</v>
      </c>
      <c r="Z67">
        <v>0.14000000000000001</v>
      </c>
      <c r="AA67" t="s">
        <v>37</v>
      </c>
      <c r="AC67">
        <v>66</v>
      </c>
      <c r="AD67" s="1">
        <v>45833</v>
      </c>
      <c r="AE67" t="s">
        <v>6</v>
      </c>
      <c r="AG67">
        <v>11.8</v>
      </c>
      <c r="AI67" t="s">
        <v>38</v>
      </c>
    </row>
    <row r="68" spans="1:35" x14ac:dyDescent="0.2">
      <c r="A68" s="9">
        <v>67</v>
      </c>
      <c r="B68" s="1">
        <v>45483</v>
      </c>
      <c r="C68" t="s">
        <v>6</v>
      </c>
      <c r="D68">
        <v>9.3000000000000007</v>
      </c>
      <c r="E68">
        <v>8.5</v>
      </c>
      <c r="F68">
        <v>0.16</v>
      </c>
      <c r="G68" s="10" t="s">
        <v>38</v>
      </c>
      <c r="K68" s="19">
        <f t="shared" ref="K68:S68" si="0">SUM(K4:K67)</f>
        <v>651</v>
      </c>
      <c r="L68" s="19">
        <f t="shared" si="0"/>
        <v>201</v>
      </c>
      <c r="M68" s="19">
        <f t="shared" si="0"/>
        <v>95</v>
      </c>
      <c r="N68" s="19">
        <f t="shared" si="0"/>
        <v>95</v>
      </c>
      <c r="O68" s="19">
        <f t="shared" si="0"/>
        <v>386</v>
      </c>
      <c r="P68" s="19">
        <f t="shared" si="0"/>
        <v>107</v>
      </c>
      <c r="Q68" s="19">
        <f t="shared" si="0"/>
        <v>151</v>
      </c>
      <c r="R68" s="19">
        <f t="shared" si="0"/>
        <v>0</v>
      </c>
      <c r="S68" s="19">
        <f t="shared" si="0"/>
        <v>50</v>
      </c>
      <c r="U68">
        <v>67</v>
      </c>
      <c r="V68" s="1">
        <v>45595</v>
      </c>
      <c r="W68" t="s">
        <v>7</v>
      </c>
      <c r="X68">
        <v>69.400000000000006</v>
      </c>
      <c r="Y68">
        <v>62</v>
      </c>
      <c r="Z68">
        <v>0.19</v>
      </c>
      <c r="AA68" t="s">
        <v>37</v>
      </c>
      <c r="AC68">
        <v>67</v>
      </c>
      <c r="AD68" s="1">
        <v>45833</v>
      </c>
      <c r="AE68" t="s">
        <v>6</v>
      </c>
      <c r="AG68">
        <v>14.1</v>
      </c>
      <c r="AI68" t="s">
        <v>38</v>
      </c>
    </row>
    <row r="69" spans="1:35" x14ac:dyDescent="0.2">
      <c r="A69" s="9">
        <v>68</v>
      </c>
      <c r="B69" s="1">
        <v>45483</v>
      </c>
      <c r="C69" t="s">
        <v>7</v>
      </c>
      <c r="D69">
        <v>68.2</v>
      </c>
      <c r="E69">
        <v>60.9</v>
      </c>
      <c r="F69">
        <v>0.17</v>
      </c>
      <c r="G69" s="10" t="s">
        <v>37</v>
      </c>
      <c r="K69" s="20">
        <f>(L68/K68)*100</f>
        <v>30.875576036866359</v>
      </c>
      <c r="L69" t="s">
        <v>45</v>
      </c>
      <c r="M69" s="20">
        <f>(N68/M68)*100</f>
        <v>100</v>
      </c>
      <c r="N69" t="s">
        <v>45</v>
      </c>
      <c r="O69" s="20">
        <f>(P68/O68)*100</f>
        <v>27.720207253886009</v>
      </c>
      <c r="P69" t="s">
        <v>45</v>
      </c>
      <c r="Q69" s="20">
        <f>(R68/Q68)*100</f>
        <v>0</v>
      </c>
      <c r="R69" t="s">
        <v>45</v>
      </c>
      <c r="U69">
        <v>68</v>
      </c>
      <c r="V69" s="1">
        <v>45609</v>
      </c>
      <c r="W69" t="s">
        <v>7</v>
      </c>
      <c r="X69">
        <v>50.5</v>
      </c>
      <c r="Y69">
        <v>45.1</v>
      </c>
      <c r="Z69">
        <v>0.12</v>
      </c>
      <c r="AA69" t="s">
        <v>37</v>
      </c>
      <c r="AC69">
        <v>68</v>
      </c>
      <c r="AD69" s="1">
        <v>45847</v>
      </c>
      <c r="AE69" t="s">
        <v>6</v>
      </c>
      <c r="AG69">
        <v>12.4</v>
      </c>
      <c r="AI69" t="s">
        <v>38</v>
      </c>
    </row>
    <row r="70" spans="1:35" x14ac:dyDescent="0.2">
      <c r="A70" s="9">
        <v>69</v>
      </c>
      <c r="B70" s="1">
        <v>45483</v>
      </c>
      <c r="C70" t="s">
        <v>7</v>
      </c>
      <c r="D70">
        <v>73.099999999999994</v>
      </c>
      <c r="E70">
        <v>65.3</v>
      </c>
      <c r="F70">
        <v>0.5</v>
      </c>
      <c r="G70" s="10" t="s">
        <v>37</v>
      </c>
      <c r="M70" t="s">
        <v>658</v>
      </c>
      <c r="U70">
        <v>69</v>
      </c>
      <c r="V70" s="1">
        <v>45609</v>
      </c>
      <c r="W70" t="s">
        <v>7</v>
      </c>
      <c r="X70">
        <v>69.599999999999994</v>
      </c>
      <c r="Y70">
        <v>62.1</v>
      </c>
      <c r="Z70">
        <v>0.2</v>
      </c>
      <c r="AA70" t="s">
        <v>37</v>
      </c>
      <c r="AC70">
        <v>69</v>
      </c>
      <c r="AD70" s="1">
        <v>45847</v>
      </c>
      <c r="AE70" t="s">
        <v>6</v>
      </c>
      <c r="AG70">
        <v>5.5</v>
      </c>
      <c r="AH70">
        <v>0.18</v>
      </c>
      <c r="AI70" t="s">
        <v>15</v>
      </c>
    </row>
    <row r="71" spans="1:35" x14ac:dyDescent="0.2">
      <c r="A71" s="9">
        <v>70</v>
      </c>
      <c r="B71" s="1">
        <v>45483</v>
      </c>
      <c r="C71" t="s">
        <v>6</v>
      </c>
      <c r="D71">
        <v>12.6</v>
      </c>
      <c r="E71">
        <v>11.5</v>
      </c>
      <c r="F71">
        <v>3.6</v>
      </c>
      <c r="G71" s="10" t="s">
        <v>38</v>
      </c>
      <c r="M71" t="s">
        <v>272</v>
      </c>
      <c r="U71">
        <v>70</v>
      </c>
      <c r="V71" s="1">
        <v>45623</v>
      </c>
      <c r="W71" t="s">
        <v>7</v>
      </c>
      <c r="X71">
        <v>68.900000000000006</v>
      </c>
      <c r="Z71">
        <v>0.16</v>
      </c>
      <c r="AA71" t="s">
        <v>37</v>
      </c>
      <c r="AC71">
        <v>70</v>
      </c>
      <c r="AD71" s="1">
        <v>45847</v>
      </c>
      <c r="AE71" t="s">
        <v>6</v>
      </c>
      <c r="AG71">
        <v>15.4</v>
      </c>
      <c r="AH71">
        <v>0.17</v>
      </c>
      <c r="AI71" t="s">
        <v>38</v>
      </c>
    </row>
    <row r="72" spans="1:35" x14ac:dyDescent="0.2">
      <c r="A72" s="9">
        <v>71</v>
      </c>
      <c r="B72" s="1">
        <v>45483</v>
      </c>
      <c r="C72" t="s">
        <v>7</v>
      </c>
      <c r="D72">
        <v>64.3</v>
      </c>
      <c r="E72">
        <v>57.4</v>
      </c>
      <c r="F72">
        <v>0.19</v>
      </c>
      <c r="G72" s="10" t="s">
        <v>37</v>
      </c>
      <c r="U72">
        <v>71</v>
      </c>
      <c r="V72" s="1">
        <v>45623</v>
      </c>
      <c r="W72" t="s">
        <v>7</v>
      </c>
      <c r="X72">
        <v>68.5</v>
      </c>
      <c r="Z72">
        <v>0.18</v>
      </c>
      <c r="AA72" t="s">
        <v>37</v>
      </c>
      <c r="AC72">
        <v>71</v>
      </c>
      <c r="AD72" s="1">
        <v>45889</v>
      </c>
      <c r="AE72" t="s">
        <v>6</v>
      </c>
      <c r="AG72">
        <v>12.8</v>
      </c>
      <c r="AI72" t="s">
        <v>38</v>
      </c>
    </row>
    <row r="73" spans="1:35" ht="17" thickBot="1" x14ac:dyDescent="0.25">
      <c r="A73" s="11">
        <v>72</v>
      </c>
      <c r="B73" s="12">
        <v>45483</v>
      </c>
      <c r="C73" s="13" t="s">
        <v>7</v>
      </c>
      <c r="D73" s="13">
        <v>69.400000000000006</v>
      </c>
      <c r="E73" s="13">
        <v>62</v>
      </c>
      <c r="F73" s="13">
        <v>0.19</v>
      </c>
      <c r="G73" s="14" t="s">
        <v>37</v>
      </c>
      <c r="U73">
        <v>72</v>
      </c>
      <c r="V73" s="1">
        <v>45623</v>
      </c>
      <c r="W73" t="s">
        <v>7</v>
      </c>
      <c r="X73">
        <v>26.3</v>
      </c>
      <c r="Z73">
        <v>0.14000000000000001</v>
      </c>
      <c r="AA73" t="s">
        <v>37</v>
      </c>
      <c r="AC73">
        <v>72</v>
      </c>
      <c r="AD73" s="1">
        <v>45889</v>
      </c>
      <c r="AE73" t="s">
        <v>6</v>
      </c>
      <c r="AG73">
        <v>13</v>
      </c>
      <c r="AI73" t="s">
        <v>38</v>
      </c>
    </row>
    <row r="74" spans="1:35" x14ac:dyDescent="0.2">
      <c r="A74" s="5">
        <v>73</v>
      </c>
      <c r="B74" s="6">
        <v>45518</v>
      </c>
      <c r="C74" s="7" t="s">
        <v>6</v>
      </c>
      <c r="D74" s="7">
        <v>17.399999999999999</v>
      </c>
      <c r="E74" s="7">
        <v>15.8</v>
      </c>
      <c r="F74" s="7">
        <v>0.23</v>
      </c>
      <c r="G74" s="8" t="s">
        <v>38</v>
      </c>
      <c r="U74">
        <v>73</v>
      </c>
      <c r="V74" s="1">
        <v>45637</v>
      </c>
      <c r="W74" t="s">
        <v>7</v>
      </c>
      <c r="X74">
        <v>67.599999999999994</v>
      </c>
      <c r="Z74">
        <v>0.13</v>
      </c>
      <c r="AA74" t="s">
        <v>37</v>
      </c>
      <c r="AC74">
        <v>73</v>
      </c>
      <c r="AD74" s="1">
        <v>45889</v>
      </c>
      <c r="AE74" t="s">
        <v>6</v>
      </c>
      <c r="AG74">
        <v>15.5</v>
      </c>
      <c r="AH74">
        <v>0.17</v>
      </c>
      <c r="AI74" t="s">
        <v>38</v>
      </c>
    </row>
    <row r="75" spans="1:35" x14ac:dyDescent="0.2">
      <c r="A75" s="9">
        <v>74</v>
      </c>
      <c r="B75" s="1">
        <v>45518</v>
      </c>
      <c r="C75" t="s">
        <v>6</v>
      </c>
      <c r="D75">
        <v>9.1</v>
      </c>
      <c r="E75">
        <v>8.3000000000000007</v>
      </c>
      <c r="F75">
        <v>0.19</v>
      </c>
      <c r="G75" s="10" t="s">
        <v>38</v>
      </c>
      <c r="U75">
        <v>74</v>
      </c>
      <c r="V75" s="1">
        <v>45637</v>
      </c>
      <c r="W75" t="s">
        <v>7</v>
      </c>
      <c r="X75">
        <v>36.9</v>
      </c>
      <c r="Z75">
        <v>0.08</v>
      </c>
      <c r="AA75" t="s">
        <v>37</v>
      </c>
      <c r="AC75">
        <v>74</v>
      </c>
      <c r="AD75" s="1">
        <v>45889</v>
      </c>
      <c r="AE75" t="s">
        <v>6</v>
      </c>
      <c r="AG75">
        <v>12.9</v>
      </c>
      <c r="AH75">
        <v>0.16</v>
      </c>
      <c r="AI75" t="s">
        <v>38</v>
      </c>
    </row>
    <row r="76" spans="1:35" x14ac:dyDescent="0.2">
      <c r="A76" s="9">
        <v>75</v>
      </c>
      <c r="B76" s="1">
        <v>45518</v>
      </c>
      <c r="C76" t="s">
        <v>7</v>
      </c>
      <c r="D76">
        <v>56.1</v>
      </c>
      <c r="E76">
        <v>50.1</v>
      </c>
      <c r="F76">
        <v>0.24</v>
      </c>
      <c r="G76" s="10" t="s">
        <v>37</v>
      </c>
      <c r="U76">
        <v>75</v>
      </c>
      <c r="V76" s="1">
        <v>45637</v>
      </c>
      <c r="W76" t="s">
        <v>7</v>
      </c>
      <c r="X76">
        <v>45.4</v>
      </c>
      <c r="Z76">
        <v>0.17</v>
      </c>
      <c r="AA76" t="s">
        <v>37</v>
      </c>
      <c r="AC76">
        <v>75</v>
      </c>
      <c r="AD76" s="35">
        <v>45903</v>
      </c>
      <c r="AE76" s="36" t="s">
        <v>6</v>
      </c>
      <c r="AF76" s="36"/>
      <c r="AG76" s="36">
        <v>15.1</v>
      </c>
      <c r="AH76" s="36"/>
      <c r="AI76" s="36" t="s">
        <v>38</v>
      </c>
    </row>
    <row r="77" spans="1:35" x14ac:dyDescent="0.2">
      <c r="A77" s="9">
        <v>76</v>
      </c>
      <c r="B77" s="1">
        <v>45518</v>
      </c>
      <c r="C77" t="s">
        <v>7</v>
      </c>
      <c r="D77">
        <v>52.4</v>
      </c>
      <c r="E77">
        <v>46.8</v>
      </c>
      <c r="F77">
        <v>0.17</v>
      </c>
      <c r="G77" s="10" t="s">
        <v>37</v>
      </c>
      <c r="U77">
        <v>76</v>
      </c>
      <c r="V77" s="1">
        <v>45637</v>
      </c>
      <c r="W77" t="s">
        <v>7</v>
      </c>
      <c r="X77">
        <v>68.900000000000006</v>
      </c>
      <c r="Z77">
        <v>0.17</v>
      </c>
      <c r="AA77" t="s">
        <v>37</v>
      </c>
      <c r="AC77">
        <v>76</v>
      </c>
      <c r="AD77" s="1">
        <v>45917</v>
      </c>
      <c r="AE77" t="s">
        <v>6</v>
      </c>
      <c r="AG77">
        <v>13.6</v>
      </c>
      <c r="AH77">
        <v>0.09</v>
      </c>
      <c r="AI77" t="s">
        <v>38</v>
      </c>
    </row>
    <row r="78" spans="1:35" ht="17" thickBot="1" x14ac:dyDescent="0.25">
      <c r="A78" s="11">
        <v>77</v>
      </c>
      <c r="B78" s="12">
        <v>45518</v>
      </c>
      <c r="C78" s="13" t="s">
        <v>7</v>
      </c>
      <c r="D78" s="13">
        <v>55.6</v>
      </c>
      <c r="E78" s="13">
        <v>49.6</v>
      </c>
      <c r="F78" s="13">
        <v>0.19</v>
      </c>
      <c r="G78" s="14" t="s">
        <v>37</v>
      </c>
      <c r="U78">
        <v>77</v>
      </c>
      <c r="V78" s="1">
        <v>45644</v>
      </c>
      <c r="W78" t="s">
        <v>7</v>
      </c>
      <c r="X78">
        <v>55.8</v>
      </c>
      <c r="AA78" t="s">
        <v>37</v>
      </c>
      <c r="AC78">
        <v>77</v>
      </c>
      <c r="AD78" s="1">
        <v>45931</v>
      </c>
      <c r="AE78" t="s">
        <v>6</v>
      </c>
      <c r="AG78">
        <v>12.5</v>
      </c>
      <c r="AI78" t="s">
        <v>504</v>
      </c>
    </row>
    <row r="79" spans="1:35" x14ac:dyDescent="0.2">
      <c r="A79" s="5">
        <v>78</v>
      </c>
      <c r="B79" s="6">
        <v>45553</v>
      </c>
      <c r="C79" s="7" t="s">
        <v>7</v>
      </c>
      <c r="D79" s="7">
        <v>56</v>
      </c>
      <c r="E79" s="7">
        <v>50</v>
      </c>
      <c r="F79" s="7">
        <v>0.18</v>
      </c>
      <c r="G79" s="8" t="s">
        <v>37</v>
      </c>
      <c r="U79">
        <v>78</v>
      </c>
      <c r="V79" s="1">
        <v>45679</v>
      </c>
      <c r="W79" t="s">
        <v>7</v>
      </c>
      <c r="X79">
        <v>55.4</v>
      </c>
      <c r="Z79">
        <v>0.16</v>
      </c>
      <c r="AA79" t="s">
        <v>37</v>
      </c>
      <c r="AC79">
        <v>78</v>
      </c>
      <c r="AD79" s="1">
        <v>45931</v>
      </c>
      <c r="AE79" t="s">
        <v>6</v>
      </c>
      <c r="AG79">
        <v>3.7</v>
      </c>
      <c r="AH79">
        <v>0.27</v>
      </c>
      <c r="AI79" t="s">
        <v>15</v>
      </c>
    </row>
    <row r="80" spans="1:35" x14ac:dyDescent="0.2">
      <c r="A80" s="9">
        <v>79</v>
      </c>
      <c r="B80" s="1">
        <v>45553</v>
      </c>
      <c r="C80" t="s">
        <v>7</v>
      </c>
      <c r="D80">
        <v>42.9</v>
      </c>
      <c r="E80">
        <v>38.299999999999997</v>
      </c>
      <c r="F80">
        <v>0.13</v>
      </c>
      <c r="G80" s="10" t="s">
        <v>37</v>
      </c>
      <c r="U80">
        <v>79</v>
      </c>
      <c r="V80" s="1">
        <v>45721</v>
      </c>
      <c r="W80" t="s">
        <v>7</v>
      </c>
      <c r="X80">
        <v>68.7</v>
      </c>
      <c r="Y80" s="20"/>
      <c r="Z80">
        <v>0.2</v>
      </c>
      <c r="AA80" t="s">
        <v>37</v>
      </c>
      <c r="AC80">
        <v>79</v>
      </c>
      <c r="AD80" s="1">
        <v>45945</v>
      </c>
      <c r="AE80" t="s">
        <v>6</v>
      </c>
      <c r="AG80">
        <v>8.5</v>
      </c>
      <c r="AH80">
        <v>0.14000000000000001</v>
      </c>
      <c r="AI80" t="s">
        <v>38</v>
      </c>
    </row>
    <row r="81" spans="1:35" x14ac:dyDescent="0.2">
      <c r="A81" s="9">
        <v>80</v>
      </c>
      <c r="B81" s="1">
        <v>45553</v>
      </c>
      <c r="C81" t="s">
        <v>7</v>
      </c>
      <c r="D81">
        <v>60.7</v>
      </c>
      <c r="E81">
        <v>54.2</v>
      </c>
      <c r="F81">
        <v>0.15</v>
      </c>
      <c r="G81" s="10" t="s">
        <v>37</v>
      </c>
      <c r="U81">
        <v>80</v>
      </c>
      <c r="V81" s="1">
        <v>45735</v>
      </c>
      <c r="W81" t="s">
        <v>7</v>
      </c>
      <c r="X81">
        <v>52.5</v>
      </c>
      <c r="Z81">
        <v>0.13</v>
      </c>
      <c r="AA81" t="s">
        <v>37</v>
      </c>
      <c r="AC81">
        <v>80</v>
      </c>
      <c r="AD81" s="1">
        <v>45953</v>
      </c>
      <c r="AE81" t="s">
        <v>6</v>
      </c>
      <c r="AG81">
        <v>13.3</v>
      </c>
      <c r="AH81">
        <v>0.23</v>
      </c>
      <c r="AI81" t="s">
        <v>38</v>
      </c>
    </row>
    <row r="82" spans="1:35" x14ac:dyDescent="0.2">
      <c r="A82" s="9">
        <v>81</v>
      </c>
      <c r="B82" s="1">
        <v>45553</v>
      </c>
      <c r="C82" t="s">
        <v>7</v>
      </c>
      <c r="D82">
        <v>68.7</v>
      </c>
      <c r="E82">
        <v>61.3</v>
      </c>
      <c r="F82">
        <v>0.18</v>
      </c>
      <c r="G82" s="10" t="s">
        <v>37</v>
      </c>
      <c r="U82">
        <v>81</v>
      </c>
      <c r="V82" s="1">
        <v>45735</v>
      </c>
      <c r="W82" t="s">
        <v>7</v>
      </c>
      <c r="X82">
        <v>66.900000000000006</v>
      </c>
      <c r="Z82">
        <v>0.2</v>
      </c>
      <c r="AA82" t="s">
        <v>37</v>
      </c>
      <c r="AC82">
        <v>81</v>
      </c>
      <c r="AD82" s="1">
        <v>45953</v>
      </c>
      <c r="AE82" t="s">
        <v>6</v>
      </c>
      <c r="AG82">
        <v>14.2</v>
      </c>
      <c r="AH82">
        <v>0.39</v>
      </c>
      <c r="AI82" t="s">
        <v>38</v>
      </c>
    </row>
    <row r="83" spans="1:35" x14ac:dyDescent="0.2">
      <c r="A83" s="9">
        <v>82</v>
      </c>
      <c r="B83" s="1">
        <v>45553</v>
      </c>
      <c r="C83" t="s">
        <v>7</v>
      </c>
      <c r="D83">
        <v>66.3</v>
      </c>
      <c r="E83">
        <v>59.2</v>
      </c>
      <c r="F83">
        <v>0.14000000000000001</v>
      </c>
      <c r="G83" s="10" t="s">
        <v>37</v>
      </c>
      <c r="U83">
        <v>82</v>
      </c>
      <c r="V83" s="1">
        <v>45735</v>
      </c>
      <c r="W83" t="s">
        <v>7</v>
      </c>
      <c r="X83">
        <v>46</v>
      </c>
      <c r="Z83">
        <v>0.14000000000000001</v>
      </c>
      <c r="AA83" t="s">
        <v>37</v>
      </c>
      <c r="AC83">
        <v>82</v>
      </c>
      <c r="AD83" s="1">
        <v>45973</v>
      </c>
      <c r="AE83" t="s">
        <v>6</v>
      </c>
      <c r="AG83">
        <v>13.2</v>
      </c>
      <c r="AH83">
        <v>0.18</v>
      </c>
      <c r="AI83" t="s">
        <v>38</v>
      </c>
    </row>
    <row r="84" spans="1:35" x14ac:dyDescent="0.2">
      <c r="A84" s="9">
        <v>83</v>
      </c>
      <c r="B84" s="1">
        <v>45553</v>
      </c>
      <c r="C84" t="s">
        <v>7</v>
      </c>
      <c r="D84">
        <v>66.599999999999994</v>
      </c>
      <c r="E84">
        <v>59.5</v>
      </c>
      <c r="F84">
        <v>0.32</v>
      </c>
      <c r="G84" s="10" t="s">
        <v>37</v>
      </c>
      <c r="U84">
        <v>83</v>
      </c>
      <c r="V84" s="1">
        <v>45749</v>
      </c>
      <c r="W84" t="s">
        <v>7</v>
      </c>
      <c r="X84">
        <v>70.400000000000006</v>
      </c>
      <c r="Z84">
        <v>0.18</v>
      </c>
      <c r="AA84" t="s">
        <v>37</v>
      </c>
      <c r="AC84">
        <v>83</v>
      </c>
      <c r="AD84" s="1">
        <v>45973</v>
      </c>
      <c r="AE84" t="s">
        <v>6</v>
      </c>
      <c r="AG84">
        <v>8.9</v>
      </c>
      <c r="AH84">
        <v>0.13</v>
      </c>
      <c r="AI84" t="s">
        <v>38</v>
      </c>
    </row>
    <row r="85" spans="1:35" ht="17" thickBot="1" x14ac:dyDescent="0.25">
      <c r="A85" s="11">
        <v>84</v>
      </c>
      <c r="B85" s="12">
        <v>45553</v>
      </c>
      <c r="C85" s="13" t="s">
        <v>7</v>
      </c>
      <c r="D85" s="13">
        <v>64.900000000000006</v>
      </c>
      <c r="E85" s="13">
        <v>57.9</v>
      </c>
      <c r="F85" s="13">
        <v>0.15</v>
      </c>
      <c r="G85" s="14" t="s">
        <v>37</v>
      </c>
      <c r="U85">
        <v>84</v>
      </c>
      <c r="V85" s="1">
        <v>45763</v>
      </c>
      <c r="W85" t="s">
        <v>7</v>
      </c>
      <c r="X85">
        <v>66.099999999999994</v>
      </c>
      <c r="Z85">
        <v>0.18</v>
      </c>
      <c r="AA85" t="s">
        <v>37</v>
      </c>
      <c r="AC85">
        <v>84</v>
      </c>
      <c r="AD85" s="1">
        <v>45973</v>
      </c>
      <c r="AE85" t="s">
        <v>6</v>
      </c>
      <c r="AG85">
        <v>12.3</v>
      </c>
      <c r="AI85" t="s">
        <v>38</v>
      </c>
    </row>
    <row r="86" spans="1:35" x14ac:dyDescent="0.2">
      <c r="A86" s="5">
        <v>85</v>
      </c>
      <c r="B86" s="6">
        <v>45567</v>
      </c>
      <c r="C86" s="7" t="s">
        <v>7</v>
      </c>
      <c r="D86" s="7">
        <v>63.4</v>
      </c>
      <c r="E86" s="7">
        <v>56.6</v>
      </c>
      <c r="F86" s="7">
        <v>0.2</v>
      </c>
      <c r="G86" s="8" t="s">
        <v>37</v>
      </c>
      <c r="U86">
        <v>85</v>
      </c>
      <c r="V86" s="1">
        <v>45763</v>
      </c>
      <c r="W86" t="s">
        <v>7</v>
      </c>
      <c r="X86">
        <v>62.1</v>
      </c>
      <c r="Z86">
        <v>0.2</v>
      </c>
      <c r="AA86" t="s">
        <v>37</v>
      </c>
      <c r="AC86">
        <v>85</v>
      </c>
      <c r="AD86" s="1">
        <v>45987</v>
      </c>
      <c r="AE86" t="s">
        <v>6</v>
      </c>
      <c r="AG86">
        <v>8.1</v>
      </c>
      <c r="AH86">
        <v>0.2</v>
      </c>
      <c r="AI86" t="s">
        <v>38</v>
      </c>
    </row>
    <row r="87" spans="1:35" x14ac:dyDescent="0.2">
      <c r="A87" s="9">
        <v>86</v>
      </c>
      <c r="B87" s="1">
        <v>45567</v>
      </c>
      <c r="C87" t="s">
        <v>6</v>
      </c>
      <c r="D87">
        <v>7.6</v>
      </c>
      <c r="E87">
        <v>6.9</v>
      </c>
      <c r="F87">
        <v>0.2</v>
      </c>
      <c r="G87" s="10" t="s">
        <v>38</v>
      </c>
      <c r="U87">
        <v>86</v>
      </c>
      <c r="V87" s="1">
        <v>45777</v>
      </c>
      <c r="W87" t="s">
        <v>7</v>
      </c>
      <c r="X87">
        <v>66.599999999999994</v>
      </c>
      <c r="Z87">
        <v>0.18</v>
      </c>
      <c r="AA87" t="s">
        <v>37</v>
      </c>
      <c r="AC87">
        <v>86</v>
      </c>
      <c r="AD87" s="1">
        <v>45987</v>
      </c>
      <c r="AE87" t="s">
        <v>6</v>
      </c>
      <c r="AG87">
        <v>12.6</v>
      </c>
      <c r="AI87" t="s">
        <v>38</v>
      </c>
    </row>
    <row r="88" spans="1:35" x14ac:dyDescent="0.2">
      <c r="A88" s="9">
        <v>87</v>
      </c>
      <c r="B88" s="1">
        <v>45567</v>
      </c>
      <c r="C88" t="s">
        <v>6</v>
      </c>
      <c r="D88">
        <v>12.2</v>
      </c>
      <c r="E88">
        <v>11.1</v>
      </c>
      <c r="F88">
        <v>0.18</v>
      </c>
      <c r="G88" s="10" t="s">
        <v>38</v>
      </c>
      <c r="U88">
        <v>87</v>
      </c>
      <c r="V88" s="35">
        <v>45791</v>
      </c>
      <c r="W88" s="36" t="s">
        <v>7</v>
      </c>
      <c r="X88" s="36">
        <v>66.599999999999994</v>
      </c>
      <c r="Y88" s="36"/>
      <c r="Z88" s="36">
        <v>0.18</v>
      </c>
      <c r="AA88" s="36" t="s">
        <v>37</v>
      </c>
      <c r="AC88">
        <v>87</v>
      </c>
      <c r="AD88" s="1">
        <v>46043</v>
      </c>
      <c r="AE88" t="s">
        <v>6</v>
      </c>
      <c r="AG88">
        <v>10.8</v>
      </c>
      <c r="AH88">
        <v>0.11</v>
      </c>
      <c r="AI88" t="s">
        <v>47</v>
      </c>
    </row>
    <row r="89" spans="1:35" x14ac:dyDescent="0.2">
      <c r="A89" s="9">
        <v>88</v>
      </c>
      <c r="B89" s="1">
        <v>45567</v>
      </c>
      <c r="C89" t="s">
        <v>7</v>
      </c>
      <c r="D89">
        <v>70.5</v>
      </c>
      <c r="E89">
        <v>62.9</v>
      </c>
      <c r="F89">
        <v>0.19</v>
      </c>
      <c r="G89" s="10" t="s">
        <v>37</v>
      </c>
      <c r="U89">
        <v>88</v>
      </c>
      <c r="V89" s="1">
        <v>45805</v>
      </c>
      <c r="W89" t="s">
        <v>7</v>
      </c>
      <c r="X89">
        <v>31.2</v>
      </c>
      <c r="Z89">
        <v>0.12</v>
      </c>
      <c r="AA89" t="s">
        <v>37</v>
      </c>
      <c r="AC89">
        <v>88</v>
      </c>
      <c r="AD89" s="1">
        <v>46043</v>
      </c>
      <c r="AE89" t="s">
        <v>6</v>
      </c>
      <c r="AG89" s="20">
        <v>8.9</v>
      </c>
      <c r="AI89" t="s">
        <v>47</v>
      </c>
    </row>
    <row r="90" spans="1:35" ht="17" thickBot="1" x14ac:dyDescent="0.25">
      <c r="A90" s="11">
        <v>89</v>
      </c>
      <c r="B90" s="12">
        <v>45567</v>
      </c>
      <c r="C90" s="13" t="s">
        <v>6</v>
      </c>
      <c r="D90" s="13">
        <v>15.6</v>
      </c>
      <c r="E90" s="13">
        <v>14.2</v>
      </c>
      <c r="F90" s="13">
        <v>0.16</v>
      </c>
      <c r="G90" s="14" t="s">
        <v>38</v>
      </c>
      <c r="U90">
        <v>89</v>
      </c>
      <c r="V90" s="1">
        <v>45805</v>
      </c>
      <c r="W90" t="s">
        <v>7</v>
      </c>
      <c r="X90">
        <v>56.1</v>
      </c>
      <c r="Z90">
        <v>0.18</v>
      </c>
      <c r="AA90" t="s">
        <v>37</v>
      </c>
      <c r="AC90">
        <v>89</v>
      </c>
      <c r="AD90" s="1">
        <v>46057</v>
      </c>
      <c r="AE90" t="s">
        <v>6</v>
      </c>
      <c r="AG90">
        <v>18.2</v>
      </c>
      <c r="AH90">
        <v>0.14000000000000001</v>
      </c>
      <c r="AI90" t="s">
        <v>47</v>
      </c>
    </row>
    <row r="91" spans="1:35" x14ac:dyDescent="0.2">
      <c r="A91" s="5">
        <v>90</v>
      </c>
      <c r="B91" s="6">
        <v>45581</v>
      </c>
      <c r="C91" s="7" t="s">
        <v>7</v>
      </c>
      <c r="D91" s="7">
        <v>67</v>
      </c>
      <c r="E91" s="7">
        <v>59.8</v>
      </c>
      <c r="F91" s="7">
        <v>0.17</v>
      </c>
      <c r="G91" s="8" t="s">
        <v>37</v>
      </c>
      <c r="U91">
        <v>90</v>
      </c>
      <c r="V91" s="1">
        <v>45833</v>
      </c>
      <c r="W91" t="s">
        <v>7</v>
      </c>
      <c r="X91">
        <v>70.2</v>
      </c>
      <c r="AA91" t="s">
        <v>37</v>
      </c>
      <c r="AC91">
        <v>90</v>
      </c>
      <c r="AD91" s="1">
        <v>46057</v>
      </c>
      <c r="AE91" t="s">
        <v>6</v>
      </c>
      <c r="AG91">
        <v>11</v>
      </c>
      <c r="AH91">
        <v>0.2</v>
      </c>
      <c r="AI91" t="s">
        <v>47</v>
      </c>
    </row>
    <row r="92" spans="1:35" x14ac:dyDescent="0.2">
      <c r="A92" s="9">
        <v>91</v>
      </c>
      <c r="B92" s="1">
        <v>45581</v>
      </c>
      <c r="C92" t="s">
        <v>7</v>
      </c>
      <c r="D92">
        <v>67</v>
      </c>
      <c r="E92">
        <v>59.8</v>
      </c>
      <c r="F92">
        <v>0.15</v>
      </c>
      <c r="G92" s="10" t="s">
        <v>37</v>
      </c>
      <c r="U92">
        <v>91</v>
      </c>
      <c r="V92" s="1">
        <v>45847</v>
      </c>
      <c r="W92" t="s">
        <v>7</v>
      </c>
      <c r="X92">
        <v>66.2</v>
      </c>
      <c r="Z92">
        <v>0.18</v>
      </c>
      <c r="AA92" t="s">
        <v>37</v>
      </c>
      <c r="AC92">
        <v>91</v>
      </c>
      <c r="AD92" s="1">
        <v>46085</v>
      </c>
      <c r="AE92" t="s">
        <v>6</v>
      </c>
      <c r="AG92">
        <v>12.5</v>
      </c>
      <c r="AI92" s="10" t="s">
        <v>47</v>
      </c>
    </row>
    <row r="93" spans="1:35" ht="17" thickBot="1" x14ac:dyDescent="0.25">
      <c r="A93" s="11">
        <v>92</v>
      </c>
      <c r="B93" s="12">
        <v>45581</v>
      </c>
      <c r="C93" s="13" t="s">
        <v>7</v>
      </c>
      <c r="D93" s="13">
        <v>66.7</v>
      </c>
      <c r="E93" s="13">
        <v>59.5</v>
      </c>
      <c r="F93" s="13">
        <v>0.17</v>
      </c>
      <c r="G93" s="14" t="s">
        <v>37</v>
      </c>
      <c r="U93">
        <v>92</v>
      </c>
      <c r="V93" s="1">
        <v>45847</v>
      </c>
      <c r="W93" t="s">
        <v>7</v>
      </c>
      <c r="X93">
        <v>69.5</v>
      </c>
      <c r="Z93">
        <v>0.16</v>
      </c>
      <c r="AA93" t="s">
        <v>37</v>
      </c>
      <c r="AC93">
        <v>92</v>
      </c>
      <c r="AD93" s="1">
        <v>46099</v>
      </c>
      <c r="AE93" t="s">
        <v>6</v>
      </c>
      <c r="AG93">
        <v>11</v>
      </c>
      <c r="AH93" t="s">
        <v>633</v>
      </c>
      <c r="AI93" t="s">
        <v>47</v>
      </c>
    </row>
    <row r="94" spans="1:35" x14ac:dyDescent="0.2">
      <c r="A94" s="5">
        <v>93</v>
      </c>
      <c r="B94" s="6">
        <v>45595</v>
      </c>
      <c r="C94" s="7" t="s">
        <v>7</v>
      </c>
      <c r="D94" s="7">
        <v>72.2</v>
      </c>
      <c r="E94" s="7">
        <v>64.5</v>
      </c>
      <c r="F94" s="7">
        <v>0.16</v>
      </c>
      <c r="G94" s="8" t="s">
        <v>37</v>
      </c>
      <c r="U94">
        <v>93</v>
      </c>
      <c r="V94" s="1">
        <v>45847</v>
      </c>
      <c r="W94" t="s">
        <v>7</v>
      </c>
      <c r="X94">
        <v>69.7</v>
      </c>
      <c r="Z94">
        <v>0.24</v>
      </c>
      <c r="AA94" t="s">
        <v>37</v>
      </c>
      <c r="AC94">
        <v>93</v>
      </c>
      <c r="AD94" s="1">
        <v>46113</v>
      </c>
      <c r="AE94" t="s">
        <v>6</v>
      </c>
      <c r="AG94">
        <v>19.2</v>
      </c>
      <c r="AH94" t="s">
        <v>625</v>
      </c>
      <c r="AI94" t="s">
        <v>47</v>
      </c>
    </row>
    <row r="95" spans="1:35" x14ac:dyDescent="0.2">
      <c r="A95" s="9">
        <v>94</v>
      </c>
      <c r="B95" s="1">
        <v>45595</v>
      </c>
      <c r="C95" t="s">
        <v>7</v>
      </c>
      <c r="D95">
        <v>72.5</v>
      </c>
      <c r="E95">
        <v>64.7</v>
      </c>
      <c r="F95">
        <v>0.14000000000000001</v>
      </c>
      <c r="G95" s="10" t="s">
        <v>37</v>
      </c>
      <c r="U95">
        <v>94</v>
      </c>
      <c r="V95" s="35">
        <v>45861</v>
      </c>
      <c r="W95" s="36" t="s">
        <v>7</v>
      </c>
      <c r="X95" s="36">
        <v>65.2</v>
      </c>
      <c r="Y95" s="36"/>
      <c r="Z95" s="36">
        <v>0.17</v>
      </c>
      <c r="AA95" s="36" t="s">
        <v>37</v>
      </c>
      <c r="AC95">
        <v>94</v>
      </c>
      <c r="AD95" s="1">
        <v>46113</v>
      </c>
      <c r="AE95" t="s">
        <v>6</v>
      </c>
      <c r="AG95">
        <v>13.1</v>
      </c>
      <c r="AI95" t="s">
        <v>47</v>
      </c>
    </row>
    <row r="96" spans="1:35" ht="17" thickBot="1" x14ac:dyDescent="0.25">
      <c r="A96" s="11">
        <v>95</v>
      </c>
      <c r="B96" s="12">
        <v>45595</v>
      </c>
      <c r="C96" s="13" t="s">
        <v>7</v>
      </c>
      <c r="D96" s="13">
        <v>69.400000000000006</v>
      </c>
      <c r="E96" s="13">
        <v>62</v>
      </c>
      <c r="F96" s="13">
        <v>0.19</v>
      </c>
      <c r="G96" s="14" t="s">
        <v>37</v>
      </c>
      <c r="U96">
        <v>95</v>
      </c>
      <c r="V96" s="35">
        <v>45861</v>
      </c>
      <c r="W96" s="36" t="s">
        <v>7</v>
      </c>
      <c r="X96" s="36">
        <v>65</v>
      </c>
      <c r="Y96" s="36"/>
      <c r="Z96" s="36">
        <v>0.17</v>
      </c>
      <c r="AA96" s="36" t="s">
        <v>37</v>
      </c>
    </row>
    <row r="97" spans="1:27" x14ac:dyDescent="0.2">
      <c r="A97" s="5">
        <v>96</v>
      </c>
      <c r="B97" s="6">
        <v>45609</v>
      </c>
      <c r="C97" s="7" t="s">
        <v>6</v>
      </c>
      <c r="D97" s="7">
        <v>20.3</v>
      </c>
      <c r="E97" s="7">
        <v>18.5</v>
      </c>
      <c r="F97" s="7">
        <v>0.11</v>
      </c>
      <c r="G97" s="8" t="s">
        <v>38</v>
      </c>
      <c r="P97" t="s">
        <v>46</v>
      </c>
      <c r="U97">
        <v>96</v>
      </c>
      <c r="V97" s="35">
        <v>45917</v>
      </c>
      <c r="W97" s="36" t="s">
        <v>7</v>
      </c>
      <c r="X97" s="36">
        <v>75.3</v>
      </c>
      <c r="Y97" s="36"/>
      <c r="Z97" s="36">
        <v>0.17</v>
      </c>
      <c r="AA97" s="36" t="s">
        <v>37</v>
      </c>
    </row>
    <row r="98" spans="1:27" x14ac:dyDescent="0.2">
      <c r="A98" s="9">
        <v>97</v>
      </c>
      <c r="B98" s="1">
        <v>45609</v>
      </c>
      <c r="C98" t="s">
        <v>6</v>
      </c>
      <c r="D98">
        <v>45.3</v>
      </c>
      <c r="E98">
        <v>41.2</v>
      </c>
      <c r="F98">
        <v>0.16</v>
      </c>
      <c r="G98" s="10" t="s">
        <v>38</v>
      </c>
      <c r="U98">
        <v>97</v>
      </c>
      <c r="V98" s="1">
        <v>45917</v>
      </c>
      <c r="W98" t="s">
        <v>7</v>
      </c>
      <c r="X98">
        <v>77.2</v>
      </c>
      <c r="Z98" s="36">
        <v>0.2</v>
      </c>
      <c r="AA98" s="36" t="s">
        <v>37</v>
      </c>
    </row>
    <row r="99" spans="1:27" x14ac:dyDescent="0.2">
      <c r="A99" s="9">
        <v>98</v>
      </c>
      <c r="B99" s="1">
        <v>45609</v>
      </c>
      <c r="C99" t="s">
        <v>6</v>
      </c>
      <c r="D99">
        <v>17.5</v>
      </c>
      <c r="E99">
        <v>15.9</v>
      </c>
      <c r="G99" s="10" t="s">
        <v>38</v>
      </c>
      <c r="U99">
        <v>98</v>
      </c>
      <c r="V99" s="35">
        <v>45931</v>
      </c>
      <c r="W99" s="36" t="s">
        <v>7</v>
      </c>
      <c r="X99" s="36">
        <v>73.5</v>
      </c>
      <c r="Y99" s="36"/>
      <c r="Z99" s="36">
        <v>0.19</v>
      </c>
      <c r="AA99" s="36" t="s">
        <v>37</v>
      </c>
    </row>
    <row r="100" spans="1:27" x14ac:dyDescent="0.2">
      <c r="A100" s="9">
        <v>99</v>
      </c>
      <c r="B100" s="1">
        <v>45609</v>
      </c>
      <c r="C100" t="s">
        <v>6</v>
      </c>
      <c r="D100">
        <v>15.3</v>
      </c>
      <c r="E100">
        <v>13.9</v>
      </c>
      <c r="F100">
        <v>0.2</v>
      </c>
      <c r="G100" s="10" t="s">
        <v>38</v>
      </c>
      <c r="U100">
        <v>99</v>
      </c>
      <c r="V100" s="1">
        <v>45945</v>
      </c>
      <c r="W100" t="s">
        <v>7</v>
      </c>
      <c r="X100">
        <v>77.900000000000006</v>
      </c>
      <c r="Z100">
        <v>0.2</v>
      </c>
      <c r="AA100" t="s">
        <v>37</v>
      </c>
    </row>
    <row r="101" spans="1:27" x14ac:dyDescent="0.2">
      <c r="A101" s="9">
        <v>100</v>
      </c>
      <c r="B101" s="1">
        <v>45609</v>
      </c>
      <c r="C101" t="s">
        <v>6</v>
      </c>
      <c r="D101">
        <v>12.7</v>
      </c>
      <c r="E101">
        <v>11.6</v>
      </c>
      <c r="F101">
        <v>0.15</v>
      </c>
      <c r="G101" s="10" t="s">
        <v>38</v>
      </c>
      <c r="U101">
        <v>100</v>
      </c>
      <c r="V101" s="1">
        <v>45973</v>
      </c>
      <c r="W101" t="s">
        <v>7</v>
      </c>
      <c r="X101">
        <v>71.400000000000006</v>
      </c>
      <c r="Z101">
        <v>0.2</v>
      </c>
      <c r="AA101" t="s">
        <v>37</v>
      </c>
    </row>
    <row r="102" spans="1:27" x14ac:dyDescent="0.2">
      <c r="A102" s="9">
        <v>101</v>
      </c>
      <c r="B102" s="1">
        <v>45609</v>
      </c>
      <c r="C102" t="s">
        <v>6</v>
      </c>
      <c r="D102">
        <v>18.3</v>
      </c>
      <c r="E102">
        <v>16.7</v>
      </c>
      <c r="F102">
        <v>0.24</v>
      </c>
      <c r="G102" s="10" t="s">
        <v>38</v>
      </c>
      <c r="U102">
        <v>101</v>
      </c>
      <c r="V102" s="1">
        <v>45987</v>
      </c>
      <c r="W102" t="s">
        <v>7</v>
      </c>
      <c r="X102">
        <v>66.3</v>
      </c>
      <c r="Z102">
        <v>0.18</v>
      </c>
      <c r="AA102" t="s">
        <v>37</v>
      </c>
    </row>
    <row r="103" spans="1:27" x14ac:dyDescent="0.2">
      <c r="A103" s="9">
        <v>102</v>
      </c>
      <c r="B103" s="1">
        <v>45609</v>
      </c>
      <c r="C103" t="s">
        <v>7</v>
      </c>
      <c r="D103">
        <v>50.5</v>
      </c>
      <c r="E103">
        <v>45.1</v>
      </c>
      <c r="F103">
        <v>0.12</v>
      </c>
      <c r="G103" s="10" t="s">
        <v>37</v>
      </c>
      <c r="U103">
        <v>102</v>
      </c>
      <c r="V103" s="1">
        <v>45987</v>
      </c>
      <c r="W103" t="s">
        <v>7</v>
      </c>
      <c r="X103">
        <v>69.5</v>
      </c>
      <c r="Z103" s="46">
        <v>0.16</v>
      </c>
      <c r="AA103" t="s">
        <v>37</v>
      </c>
    </row>
    <row r="104" spans="1:27" ht="17" thickBot="1" x14ac:dyDescent="0.25">
      <c r="A104" s="11">
        <v>103</v>
      </c>
      <c r="B104" s="12">
        <v>45609</v>
      </c>
      <c r="C104" s="13" t="s">
        <v>7</v>
      </c>
      <c r="D104" s="13">
        <v>69.599999999999994</v>
      </c>
      <c r="E104" s="13">
        <v>62.1</v>
      </c>
      <c r="F104" s="13">
        <v>0.2</v>
      </c>
      <c r="G104" s="14" t="s">
        <v>37</v>
      </c>
      <c r="U104">
        <v>103</v>
      </c>
      <c r="V104" s="1">
        <v>46085</v>
      </c>
      <c r="W104" t="s">
        <v>7</v>
      </c>
      <c r="X104">
        <v>75.7</v>
      </c>
      <c r="Z104">
        <v>0.46</v>
      </c>
      <c r="AA104" t="s">
        <v>37</v>
      </c>
    </row>
    <row r="105" spans="1:27" x14ac:dyDescent="0.2">
      <c r="A105" s="5">
        <v>104</v>
      </c>
      <c r="B105" s="6">
        <v>45623</v>
      </c>
      <c r="C105" s="7" t="s">
        <v>6</v>
      </c>
      <c r="D105" s="7"/>
      <c r="E105" s="7">
        <v>11.8</v>
      </c>
      <c r="F105" s="7">
        <v>0.15</v>
      </c>
      <c r="G105" s="8" t="s">
        <v>38</v>
      </c>
      <c r="U105">
        <v>104</v>
      </c>
      <c r="V105" s="1">
        <v>46085</v>
      </c>
      <c r="W105" t="s">
        <v>7</v>
      </c>
      <c r="X105">
        <v>71.8</v>
      </c>
      <c r="Z105">
        <v>0.22</v>
      </c>
      <c r="AA105" t="s">
        <v>37</v>
      </c>
    </row>
    <row r="106" spans="1:27" x14ac:dyDescent="0.2">
      <c r="A106" s="9">
        <v>105</v>
      </c>
      <c r="B106" s="1">
        <v>45623</v>
      </c>
      <c r="C106" t="s">
        <v>7</v>
      </c>
      <c r="D106">
        <v>68.900000000000006</v>
      </c>
      <c r="F106">
        <v>0.16</v>
      </c>
      <c r="G106" s="10" t="s">
        <v>37</v>
      </c>
      <c r="U106">
        <v>105</v>
      </c>
      <c r="V106" s="1">
        <v>46099</v>
      </c>
      <c r="W106" t="s">
        <v>7</v>
      </c>
      <c r="X106">
        <v>74</v>
      </c>
      <c r="Z106" t="s">
        <v>622</v>
      </c>
      <c r="AA106" t="s">
        <v>37</v>
      </c>
    </row>
    <row r="107" spans="1:27" x14ac:dyDescent="0.2">
      <c r="A107" s="9">
        <v>106</v>
      </c>
      <c r="B107" s="1">
        <v>45623</v>
      </c>
      <c r="C107" t="s">
        <v>7</v>
      </c>
      <c r="D107">
        <v>68.5</v>
      </c>
      <c r="F107">
        <v>0.18</v>
      </c>
      <c r="G107" s="10" t="s">
        <v>37</v>
      </c>
      <c r="U107">
        <v>106</v>
      </c>
      <c r="V107" s="1">
        <v>46099</v>
      </c>
      <c r="W107" t="s">
        <v>7</v>
      </c>
      <c r="X107">
        <v>60.8</v>
      </c>
      <c r="Z107" t="s">
        <v>626</v>
      </c>
      <c r="AA107" t="s">
        <v>37</v>
      </c>
    </row>
    <row r="108" spans="1:27" ht="17" thickBot="1" x14ac:dyDescent="0.25">
      <c r="A108" s="11">
        <v>107</v>
      </c>
      <c r="B108" s="12">
        <v>45623</v>
      </c>
      <c r="C108" s="13" t="s">
        <v>7</v>
      </c>
      <c r="D108" s="13">
        <v>26.3</v>
      </c>
      <c r="E108" s="13"/>
      <c r="F108" s="13">
        <v>0.14000000000000001</v>
      </c>
      <c r="G108" s="14" t="s">
        <v>37</v>
      </c>
      <c r="U108">
        <v>107</v>
      </c>
      <c r="V108" s="1">
        <v>46113</v>
      </c>
      <c r="W108" t="s">
        <v>7</v>
      </c>
      <c r="X108">
        <v>57.1</v>
      </c>
      <c r="Z108" t="s">
        <v>647</v>
      </c>
      <c r="AA108" t="s">
        <v>37</v>
      </c>
    </row>
    <row r="109" spans="1:27" x14ac:dyDescent="0.2">
      <c r="A109" s="5">
        <v>108</v>
      </c>
      <c r="B109" s="6">
        <v>45637</v>
      </c>
      <c r="C109" s="7" t="s">
        <v>7</v>
      </c>
      <c r="D109" s="7">
        <v>67.599999999999994</v>
      </c>
      <c r="E109" s="7"/>
      <c r="F109" s="7">
        <v>0.13</v>
      </c>
      <c r="G109" s="8" t="s">
        <v>37</v>
      </c>
    </row>
    <row r="110" spans="1:27" x14ac:dyDescent="0.2">
      <c r="A110" s="9">
        <v>109</v>
      </c>
      <c r="B110" s="1">
        <v>45637</v>
      </c>
      <c r="C110" t="s">
        <v>6</v>
      </c>
      <c r="E110">
        <v>7.1</v>
      </c>
      <c r="F110">
        <v>0.2</v>
      </c>
      <c r="G110" s="10" t="s">
        <v>47</v>
      </c>
    </row>
    <row r="111" spans="1:27" x14ac:dyDescent="0.2">
      <c r="A111" s="9">
        <v>110</v>
      </c>
      <c r="B111" s="1">
        <v>45637</v>
      </c>
      <c r="C111" t="s">
        <v>7</v>
      </c>
      <c r="D111">
        <v>36.9</v>
      </c>
      <c r="F111">
        <v>0.08</v>
      </c>
      <c r="G111" s="10" t="s">
        <v>37</v>
      </c>
    </row>
    <row r="112" spans="1:27" x14ac:dyDescent="0.2">
      <c r="A112" s="9">
        <v>111</v>
      </c>
      <c r="B112" s="1">
        <v>45637</v>
      </c>
      <c r="C112" t="s">
        <v>7</v>
      </c>
      <c r="D112">
        <v>45.4</v>
      </c>
      <c r="F112">
        <v>0.17</v>
      </c>
      <c r="G112" s="10" t="s">
        <v>37</v>
      </c>
    </row>
    <row r="113" spans="1:7" ht="17" thickBot="1" x14ac:dyDescent="0.25">
      <c r="A113" s="11">
        <v>112</v>
      </c>
      <c r="B113" s="12">
        <v>45637</v>
      </c>
      <c r="C113" s="13" t="s">
        <v>7</v>
      </c>
      <c r="D113" s="13">
        <v>68.900000000000006</v>
      </c>
      <c r="E113" s="13"/>
      <c r="F113" s="13">
        <v>0.17</v>
      </c>
      <c r="G113" s="14" t="s">
        <v>37</v>
      </c>
    </row>
    <row r="114" spans="1:7" x14ac:dyDescent="0.2">
      <c r="A114" s="5">
        <v>113</v>
      </c>
      <c r="B114" s="6">
        <v>45644</v>
      </c>
      <c r="C114" s="7" t="s">
        <v>7</v>
      </c>
      <c r="D114" s="7">
        <v>55.8</v>
      </c>
      <c r="E114" s="7"/>
      <c r="F114" s="7"/>
      <c r="G114" s="8" t="s">
        <v>37</v>
      </c>
    </row>
    <row r="115" spans="1:7" ht="17" thickBot="1" x14ac:dyDescent="0.25">
      <c r="A115" s="11">
        <v>114</v>
      </c>
      <c r="B115" s="12">
        <v>45644</v>
      </c>
      <c r="C115" s="13" t="s">
        <v>6</v>
      </c>
      <c r="D115" s="13"/>
      <c r="E115" s="13">
        <v>12.4</v>
      </c>
      <c r="F115" s="13"/>
      <c r="G115" s="14" t="s">
        <v>38</v>
      </c>
    </row>
    <row r="116" spans="1:7" ht="17" thickBot="1" x14ac:dyDescent="0.25">
      <c r="A116" s="2">
        <v>115</v>
      </c>
      <c r="B116" s="23">
        <v>45665</v>
      </c>
      <c r="C116" s="3" t="s">
        <v>6</v>
      </c>
      <c r="D116" s="3"/>
      <c r="E116" s="3">
        <v>7.3</v>
      </c>
      <c r="F116" s="3">
        <v>0.18</v>
      </c>
      <c r="G116" s="4" t="s">
        <v>15</v>
      </c>
    </row>
    <row r="117" spans="1:7" x14ac:dyDescent="0.2">
      <c r="A117" s="5">
        <v>116</v>
      </c>
      <c r="B117" s="6">
        <v>45665</v>
      </c>
      <c r="C117" s="7" t="s">
        <v>6</v>
      </c>
      <c r="D117" s="7"/>
      <c r="E117" s="7">
        <v>7.5</v>
      </c>
      <c r="F117" s="7">
        <v>0.18</v>
      </c>
      <c r="G117" s="8" t="s">
        <v>15</v>
      </c>
    </row>
    <row r="118" spans="1:7" x14ac:dyDescent="0.2">
      <c r="A118" s="9">
        <v>117</v>
      </c>
      <c r="B118" s="1">
        <v>45665</v>
      </c>
      <c r="C118" t="s">
        <v>6</v>
      </c>
      <c r="E118">
        <v>6.9</v>
      </c>
      <c r="F118">
        <v>0.27</v>
      </c>
      <c r="G118" s="10" t="s">
        <v>15</v>
      </c>
    </row>
    <row r="119" spans="1:7" x14ac:dyDescent="0.2">
      <c r="A119" s="9">
        <v>118</v>
      </c>
      <c r="B119" s="1">
        <v>45665</v>
      </c>
      <c r="C119" t="s">
        <v>6</v>
      </c>
      <c r="E119">
        <v>9.8000000000000007</v>
      </c>
      <c r="G119" s="10" t="s">
        <v>38</v>
      </c>
    </row>
    <row r="120" spans="1:7" x14ac:dyDescent="0.2">
      <c r="A120" s="9">
        <v>119</v>
      </c>
      <c r="B120" s="1">
        <v>45665</v>
      </c>
      <c r="C120" t="s">
        <v>6</v>
      </c>
      <c r="E120">
        <v>6.8</v>
      </c>
      <c r="F120">
        <v>0.21</v>
      </c>
      <c r="G120" s="10" t="s">
        <v>15</v>
      </c>
    </row>
    <row r="121" spans="1:7" x14ac:dyDescent="0.2">
      <c r="A121" s="9">
        <v>120</v>
      </c>
      <c r="B121" s="1">
        <v>45665</v>
      </c>
      <c r="C121" t="s">
        <v>6</v>
      </c>
      <c r="E121">
        <v>5.6</v>
      </c>
      <c r="F121">
        <v>0.56999999999999995</v>
      </c>
      <c r="G121" s="10" t="s">
        <v>15</v>
      </c>
    </row>
    <row r="122" spans="1:7" x14ac:dyDescent="0.2">
      <c r="A122" s="9">
        <v>121</v>
      </c>
      <c r="B122" s="1">
        <v>45665</v>
      </c>
      <c r="C122" t="s">
        <v>6</v>
      </c>
      <c r="E122">
        <v>12.8</v>
      </c>
      <c r="F122">
        <v>0.15</v>
      </c>
      <c r="G122" s="10" t="s">
        <v>38</v>
      </c>
    </row>
    <row r="123" spans="1:7" ht="17" thickBot="1" x14ac:dyDescent="0.25">
      <c r="A123" s="11">
        <v>122</v>
      </c>
      <c r="B123" s="12">
        <v>45665</v>
      </c>
      <c r="C123" s="13" t="s">
        <v>6</v>
      </c>
      <c r="D123" s="13"/>
      <c r="E123" s="13">
        <v>7.6</v>
      </c>
      <c r="F123" s="13">
        <v>0.5</v>
      </c>
      <c r="G123" s="14" t="s">
        <v>15</v>
      </c>
    </row>
    <row r="124" spans="1:7" x14ac:dyDescent="0.2">
      <c r="A124" s="5">
        <v>123</v>
      </c>
      <c r="B124" s="6">
        <v>45679</v>
      </c>
      <c r="C124" s="7" t="s">
        <v>6</v>
      </c>
      <c r="D124" s="7"/>
      <c r="E124" s="7">
        <v>12.1</v>
      </c>
      <c r="F124" s="7"/>
      <c r="G124" s="8" t="s">
        <v>38</v>
      </c>
    </row>
    <row r="125" spans="1:7" x14ac:dyDescent="0.2">
      <c r="A125" s="9">
        <v>124</v>
      </c>
      <c r="B125" s="1">
        <v>45679</v>
      </c>
      <c r="C125" t="s">
        <v>6</v>
      </c>
      <c r="E125">
        <v>12.9</v>
      </c>
      <c r="G125" s="10" t="s">
        <v>38</v>
      </c>
    </row>
    <row r="126" spans="1:7" x14ac:dyDescent="0.2">
      <c r="A126" s="9">
        <v>125</v>
      </c>
      <c r="B126" s="1">
        <v>45679</v>
      </c>
      <c r="C126" t="s">
        <v>6</v>
      </c>
      <c r="E126">
        <v>12.8</v>
      </c>
      <c r="G126" s="10" t="s">
        <v>38</v>
      </c>
    </row>
    <row r="127" spans="1:7" x14ac:dyDescent="0.2">
      <c r="A127" s="9">
        <v>126</v>
      </c>
      <c r="B127" s="1">
        <v>45679</v>
      </c>
      <c r="C127" t="s">
        <v>7</v>
      </c>
      <c r="D127">
        <v>55.4</v>
      </c>
      <c r="F127">
        <v>0.16</v>
      </c>
      <c r="G127" s="10" t="s">
        <v>37</v>
      </c>
    </row>
    <row r="128" spans="1:7" ht="17" thickBot="1" x14ac:dyDescent="0.25">
      <c r="A128" s="11">
        <v>127</v>
      </c>
      <c r="B128" s="12">
        <v>45679</v>
      </c>
      <c r="C128" s="13" t="s">
        <v>6</v>
      </c>
      <c r="D128" s="13"/>
      <c r="E128" s="13">
        <v>11.5</v>
      </c>
      <c r="F128" s="13">
        <v>0.11</v>
      </c>
      <c r="G128" s="14" t="s">
        <v>47</v>
      </c>
    </row>
    <row r="129" spans="1:7" x14ac:dyDescent="0.2">
      <c r="A129" s="5">
        <v>128</v>
      </c>
      <c r="B129" s="6">
        <v>45693</v>
      </c>
      <c r="C129" s="7" t="s">
        <v>6</v>
      </c>
      <c r="D129" s="7"/>
      <c r="E129" s="7">
        <v>12.3</v>
      </c>
      <c r="F129" s="7"/>
      <c r="G129" s="8" t="s">
        <v>38</v>
      </c>
    </row>
    <row r="130" spans="1:7" x14ac:dyDescent="0.2">
      <c r="A130" s="9">
        <v>129</v>
      </c>
      <c r="B130" s="1">
        <v>45693</v>
      </c>
      <c r="C130" t="s">
        <v>6</v>
      </c>
      <c r="E130">
        <v>13.1</v>
      </c>
      <c r="G130" s="10" t="s">
        <v>38</v>
      </c>
    </row>
    <row r="131" spans="1:7" x14ac:dyDescent="0.2">
      <c r="A131" s="9">
        <v>130</v>
      </c>
      <c r="B131" s="1">
        <v>45693</v>
      </c>
      <c r="C131" t="s">
        <v>6</v>
      </c>
      <c r="E131">
        <v>11.2</v>
      </c>
      <c r="G131" s="10" t="s">
        <v>38</v>
      </c>
    </row>
    <row r="132" spans="1:7" x14ac:dyDescent="0.2">
      <c r="A132" s="9">
        <v>131</v>
      </c>
      <c r="B132" s="1">
        <v>45693</v>
      </c>
      <c r="C132" t="s">
        <v>6</v>
      </c>
      <c r="E132">
        <v>9.9</v>
      </c>
      <c r="G132" s="10" t="s">
        <v>38</v>
      </c>
    </row>
    <row r="133" spans="1:7" x14ac:dyDescent="0.2">
      <c r="A133" s="9">
        <v>132</v>
      </c>
      <c r="B133" s="1">
        <v>45693</v>
      </c>
      <c r="C133" t="s">
        <v>6</v>
      </c>
      <c r="E133">
        <v>11.4</v>
      </c>
      <c r="G133" s="10" t="s">
        <v>38</v>
      </c>
    </row>
    <row r="134" spans="1:7" ht="17" thickBot="1" x14ac:dyDescent="0.25">
      <c r="A134" s="11">
        <v>133</v>
      </c>
      <c r="B134" s="12">
        <v>45693</v>
      </c>
      <c r="C134" s="13" t="s">
        <v>6</v>
      </c>
      <c r="D134" s="13"/>
      <c r="E134" s="13">
        <v>13</v>
      </c>
      <c r="F134" s="13">
        <v>0.08</v>
      </c>
      <c r="G134" s="14" t="s">
        <v>38</v>
      </c>
    </row>
    <row r="135" spans="1:7" x14ac:dyDescent="0.2">
      <c r="A135" s="5">
        <v>134</v>
      </c>
      <c r="B135" s="6">
        <v>45721</v>
      </c>
      <c r="C135" s="7" t="s">
        <v>6</v>
      </c>
      <c r="D135" s="7"/>
      <c r="E135" s="7">
        <v>9.6999999999999993</v>
      </c>
      <c r="F135" s="7"/>
      <c r="G135" s="8" t="s">
        <v>38</v>
      </c>
    </row>
    <row r="136" spans="1:7" ht="14" customHeight="1" x14ac:dyDescent="0.2">
      <c r="A136" s="9">
        <v>135</v>
      </c>
      <c r="B136" s="1">
        <v>45721</v>
      </c>
      <c r="C136" t="s">
        <v>7</v>
      </c>
      <c r="D136">
        <v>68.7</v>
      </c>
      <c r="E136" s="20"/>
      <c r="F136">
        <v>0.2</v>
      </c>
      <c r="G136" s="10" t="s">
        <v>37</v>
      </c>
    </row>
    <row r="137" spans="1:7" ht="17" thickBot="1" x14ac:dyDescent="0.25">
      <c r="A137" s="11">
        <v>136</v>
      </c>
      <c r="B137" s="12">
        <v>45721</v>
      </c>
      <c r="C137" s="13" t="s">
        <v>6</v>
      </c>
      <c r="D137" s="13"/>
      <c r="E137" s="41">
        <v>10.5</v>
      </c>
      <c r="F137" s="13"/>
      <c r="G137" s="14" t="s">
        <v>38</v>
      </c>
    </row>
    <row r="138" spans="1:7" x14ac:dyDescent="0.2">
      <c r="A138" s="5">
        <v>137</v>
      </c>
      <c r="B138" s="6">
        <v>45735</v>
      </c>
      <c r="C138" s="7" t="s">
        <v>6</v>
      </c>
      <c r="D138" s="7"/>
      <c r="E138" s="7">
        <v>9.1</v>
      </c>
      <c r="F138" s="7"/>
      <c r="G138" s="8" t="s">
        <v>38</v>
      </c>
    </row>
    <row r="139" spans="1:7" x14ac:dyDescent="0.2">
      <c r="A139" s="9">
        <v>138</v>
      </c>
      <c r="B139" s="1">
        <v>45735</v>
      </c>
      <c r="C139" t="s">
        <v>7</v>
      </c>
      <c r="D139">
        <v>52.5</v>
      </c>
      <c r="F139">
        <v>0.13</v>
      </c>
      <c r="G139" s="10" t="s">
        <v>37</v>
      </c>
    </row>
    <row r="140" spans="1:7" x14ac:dyDescent="0.2">
      <c r="A140" s="9">
        <v>139</v>
      </c>
      <c r="B140" s="1">
        <v>45735</v>
      </c>
      <c r="C140" t="s">
        <v>7</v>
      </c>
      <c r="D140">
        <v>66.900000000000006</v>
      </c>
      <c r="F140">
        <v>0.2</v>
      </c>
      <c r="G140" s="10" t="s">
        <v>37</v>
      </c>
    </row>
    <row r="141" spans="1:7" ht="17" thickBot="1" x14ac:dyDescent="0.25">
      <c r="A141" s="11">
        <v>140</v>
      </c>
      <c r="B141" s="12">
        <v>45735</v>
      </c>
      <c r="C141" s="13" t="s">
        <v>7</v>
      </c>
      <c r="D141" s="13">
        <v>46</v>
      </c>
      <c r="E141" s="13"/>
      <c r="F141" s="13">
        <v>0.14000000000000001</v>
      </c>
      <c r="G141" s="14" t="s">
        <v>37</v>
      </c>
    </row>
    <row r="142" spans="1:7" ht="17" thickBot="1" x14ac:dyDescent="0.25">
      <c r="A142" s="2">
        <v>141</v>
      </c>
      <c r="B142" s="23">
        <v>45749</v>
      </c>
      <c r="C142" s="3" t="s">
        <v>7</v>
      </c>
      <c r="D142" s="3">
        <v>70.400000000000006</v>
      </c>
      <c r="E142" s="3"/>
      <c r="F142" s="3">
        <v>0.18</v>
      </c>
      <c r="G142" s="4" t="s">
        <v>37</v>
      </c>
    </row>
    <row r="143" spans="1:7" x14ac:dyDescent="0.2">
      <c r="A143" s="5">
        <v>142</v>
      </c>
      <c r="B143" s="6">
        <v>45763</v>
      </c>
      <c r="C143" s="7" t="s">
        <v>6</v>
      </c>
      <c r="D143" s="7"/>
      <c r="E143" s="7">
        <v>12.3</v>
      </c>
      <c r="F143" s="7"/>
      <c r="G143" s="8" t="s">
        <v>38</v>
      </c>
    </row>
    <row r="144" spans="1:7" x14ac:dyDescent="0.2">
      <c r="A144" s="9">
        <v>143</v>
      </c>
      <c r="B144" s="1">
        <v>45763</v>
      </c>
      <c r="C144" t="s">
        <v>6</v>
      </c>
      <c r="E144">
        <v>12.4</v>
      </c>
      <c r="G144" s="10" t="s">
        <v>38</v>
      </c>
    </row>
    <row r="145" spans="1:7" x14ac:dyDescent="0.2">
      <c r="A145" s="9">
        <v>144</v>
      </c>
      <c r="B145" s="1">
        <v>45763</v>
      </c>
      <c r="C145" t="s">
        <v>7</v>
      </c>
      <c r="D145">
        <v>66.099999999999994</v>
      </c>
      <c r="F145">
        <v>0.18</v>
      </c>
      <c r="G145" s="10" t="s">
        <v>37</v>
      </c>
    </row>
    <row r="146" spans="1:7" ht="17" thickBot="1" x14ac:dyDescent="0.25">
      <c r="A146" s="11">
        <v>145</v>
      </c>
      <c r="B146" s="12">
        <v>45763</v>
      </c>
      <c r="C146" s="13" t="s">
        <v>7</v>
      </c>
      <c r="D146" s="13">
        <v>62.1</v>
      </c>
      <c r="E146" s="13"/>
      <c r="F146" s="13">
        <v>0.2</v>
      </c>
      <c r="G146" s="14" t="s">
        <v>37</v>
      </c>
    </row>
    <row r="147" spans="1:7" x14ac:dyDescent="0.2">
      <c r="A147" s="5">
        <v>146</v>
      </c>
      <c r="B147" s="6">
        <v>45777</v>
      </c>
      <c r="C147" s="7" t="s">
        <v>6</v>
      </c>
      <c r="D147" s="7"/>
      <c r="E147" s="7">
        <v>11.3</v>
      </c>
      <c r="F147" s="7">
        <v>0.36</v>
      </c>
      <c r="G147" s="8" t="s">
        <v>38</v>
      </c>
    </row>
    <row r="148" spans="1:7" x14ac:dyDescent="0.2">
      <c r="A148" s="9">
        <v>147</v>
      </c>
      <c r="B148" s="1">
        <v>45777</v>
      </c>
      <c r="C148" t="s">
        <v>7</v>
      </c>
      <c r="D148">
        <v>66.599999999999994</v>
      </c>
      <c r="F148">
        <v>0.18</v>
      </c>
      <c r="G148" s="10" t="s">
        <v>37</v>
      </c>
    </row>
    <row r="149" spans="1:7" ht="17" thickBot="1" x14ac:dyDescent="0.25">
      <c r="A149" s="11">
        <v>148</v>
      </c>
      <c r="B149" s="12">
        <v>45777</v>
      </c>
      <c r="C149" s="13" t="s">
        <v>6</v>
      </c>
      <c r="D149" s="13"/>
      <c r="E149" s="13">
        <v>16.100000000000001</v>
      </c>
      <c r="F149" s="13">
        <v>0.12</v>
      </c>
      <c r="G149" s="14" t="s">
        <v>38</v>
      </c>
    </row>
    <row r="150" spans="1:7" x14ac:dyDescent="0.2">
      <c r="A150" s="5">
        <v>149</v>
      </c>
      <c r="B150" s="43">
        <v>45791</v>
      </c>
      <c r="C150" s="44" t="s">
        <v>6</v>
      </c>
      <c r="D150" s="44"/>
      <c r="E150" s="44">
        <v>15.9</v>
      </c>
      <c r="F150" s="44">
        <v>0.2</v>
      </c>
      <c r="G150" s="45" t="s">
        <v>38</v>
      </c>
    </row>
    <row r="151" spans="1:7" ht="17" thickBot="1" x14ac:dyDescent="0.25">
      <c r="A151" s="9">
        <v>150</v>
      </c>
      <c r="B151" s="35">
        <v>45791</v>
      </c>
      <c r="C151" s="36" t="s">
        <v>7</v>
      </c>
      <c r="D151" s="36">
        <v>66.599999999999994</v>
      </c>
      <c r="E151" s="36"/>
      <c r="F151" s="36">
        <v>0.18</v>
      </c>
      <c r="G151" s="47" t="s">
        <v>37</v>
      </c>
    </row>
    <row r="152" spans="1:7" x14ac:dyDescent="0.2">
      <c r="A152" s="5">
        <v>151</v>
      </c>
      <c r="B152" s="6">
        <v>45805</v>
      </c>
      <c r="C152" s="7" t="s">
        <v>7</v>
      </c>
      <c r="D152" s="7">
        <v>31.2</v>
      </c>
      <c r="E152" s="7"/>
      <c r="F152" s="7">
        <v>0.12</v>
      </c>
      <c r="G152" s="8" t="s">
        <v>37</v>
      </c>
    </row>
    <row r="153" spans="1:7" x14ac:dyDescent="0.2">
      <c r="A153" s="9">
        <v>152</v>
      </c>
      <c r="B153" s="1">
        <v>45805</v>
      </c>
      <c r="C153" t="s">
        <v>6</v>
      </c>
      <c r="E153">
        <v>15.2</v>
      </c>
      <c r="G153" s="10" t="s">
        <v>38</v>
      </c>
    </row>
    <row r="154" spans="1:7" ht="17" thickBot="1" x14ac:dyDescent="0.25">
      <c r="A154" s="11">
        <v>153</v>
      </c>
      <c r="B154" s="12">
        <v>45805</v>
      </c>
      <c r="C154" s="13" t="s">
        <v>7</v>
      </c>
      <c r="D154" s="13">
        <v>56.1</v>
      </c>
      <c r="E154" s="13"/>
      <c r="F154" s="13">
        <v>0.18</v>
      </c>
      <c r="G154" s="14" t="s">
        <v>37</v>
      </c>
    </row>
    <row r="155" spans="1:7" ht="17" thickBot="1" x14ac:dyDescent="0.25">
      <c r="A155" s="2">
        <v>154</v>
      </c>
      <c r="B155" s="23">
        <v>45819</v>
      </c>
      <c r="C155" s="3" t="s">
        <v>6</v>
      </c>
      <c r="D155" s="3"/>
      <c r="E155" s="3">
        <v>13.2</v>
      </c>
      <c r="F155" s="3">
        <v>0.1</v>
      </c>
      <c r="G155" s="4" t="s">
        <v>38</v>
      </c>
    </row>
    <row r="156" spans="1:7" x14ac:dyDescent="0.2">
      <c r="A156" s="5">
        <v>155</v>
      </c>
      <c r="B156" s="6">
        <v>45833</v>
      </c>
      <c r="C156" s="7" t="s">
        <v>6</v>
      </c>
      <c r="D156" s="7"/>
      <c r="E156" s="7">
        <v>11.8</v>
      </c>
      <c r="F156" s="7"/>
      <c r="G156" s="8" t="s">
        <v>38</v>
      </c>
    </row>
    <row r="157" spans="1:7" x14ac:dyDescent="0.2">
      <c r="A157" s="9">
        <v>156</v>
      </c>
      <c r="B157" s="1">
        <v>45833</v>
      </c>
      <c r="C157" t="s">
        <v>7</v>
      </c>
      <c r="D157">
        <v>70.2</v>
      </c>
      <c r="G157" s="10" t="s">
        <v>37</v>
      </c>
    </row>
    <row r="158" spans="1:7" ht="17" thickBot="1" x14ac:dyDescent="0.25">
      <c r="A158" s="11">
        <v>157</v>
      </c>
      <c r="B158" s="12">
        <v>45833</v>
      </c>
      <c r="C158" s="13" t="s">
        <v>6</v>
      </c>
      <c r="D158" s="13"/>
      <c r="E158" s="13">
        <v>14.1</v>
      </c>
      <c r="F158" s="13"/>
      <c r="G158" s="14" t="s">
        <v>38</v>
      </c>
    </row>
    <row r="159" spans="1:7" x14ac:dyDescent="0.2">
      <c r="A159" s="5">
        <v>158</v>
      </c>
      <c r="B159" s="6">
        <v>45847</v>
      </c>
      <c r="C159" s="7" t="s">
        <v>6</v>
      </c>
      <c r="D159" s="7"/>
      <c r="E159" s="7">
        <v>12.4</v>
      </c>
      <c r="F159" s="7"/>
      <c r="G159" s="8" t="s">
        <v>38</v>
      </c>
    </row>
    <row r="160" spans="1:7" x14ac:dyDescent="0.2">
      <c r="A160" s="9">
        <v>159</v>
      </c>
      <c r="B160" s="1">
        <v>45847</v>
      </c>
      <c r="C160" t="s">
        <v>7</v>
      </c>
      <c r="D160">
        <v>66.2</v>
      </c>
      <c r="F160">
        <v>0.18</v>
      </c>
      <c r="G160" s="10" t="s">
        <v>37</v>
      </c>
    </row>
    <row r="161" spans="1:7" x14ac:dyDescent="0.2">
      <c r="A161" s="9">
        <v>160</v>
      </c>
      <c r="B161" s="1">
        <v>45847</v>
      </c>
      <c r="C161" t="s">
        <v>6</v>
      </c>
      <c r="E161">
        <v>5.5</v>
      </c>
      <c r="F161">
        <v>0.18</v>
      </c>
      <c r="G161" s="10" t="s">
        <v>47</v>
      </c>
    </row>
    <row r="162" spans="1:7" x14ac:dyDescent="0.2">
      <c r="A162" s="9">
        <v>161</v>
      </c>
      <c r="B162" s="1">
        <v>45847</v>
      </c>
      <c r="C162" t="s">
        <v>6</v>
      </c>
      <c r="E162">
        <v>15.4</v>
      </c>
      <c r="F162">
        <v>0.17</v>
      </c>
      <c r="G162" s="10" t="s">
        <v>38</v>
      </c>
    </row>
    <row r="163" spans="1:7" x14ac:dyDescent="0.2">
      <c r="A163" s="9">
        <v>162</v>
      </c>
      <c r="B163" s="1">
        <v>45847</v>
      </c>
      <c r="C163" t="s">
        <v>7</v>
      </c>
      <c r="D163">
        <v>69.5</v>
      </c>
      <c r="F163">
        <v>0.16</v>
      </c>
      <c r="G163" s="10" t="s">
        <v>37</v>
      </c>
    </row>
    <row r="164" spans="1:7" ht="17" thickBot="1" x14ac:dyDescent="0.25">
      <c r="A164" s="11">
        <v>163</v>
      </c>
      <c r="B164" s="12">
        <v>45847</v>
      </c>
      <c r="C164" s="13" t="s">
        <v>7</v>
      </c>
      <c r="D164" s="13">
        <v>69.7</v>
      </c>
      <c r="E164" s="13"/>
      <c r="F164" s="13">
        <v>0.24</v>
      </c>
      <c r="G164" s="14" t="s">
        <v>37</v>
      </c>
    </row>
    <row r="165" spans="1:7" x14ac:dyDescent="0.2">
      <c r="A165" s="5">
        <v>164</v>
      </c>
      <c r="B165" s="6">
        <v>45861</v>
      </c>
      <c r="C165" s="7" t="s">
        <v>7</v>
      </c>
      <c r="D165" s="7">
        <v>65.2</v>
      </c>
      <c r="E165" s="7"/>
      <c r="F165" s="7">
        <v>0.17</v>
      </c>
      <c r="G165" s="8" t="s">
        <v>37</v>
      </c>
    </row>
    <row r="166" spans="1:7" ht="17" thickBot="1" x14ac:dyDescent="0.25">
      <c r="A166" s="11">
        <v>165</v>
      </c>
      <c r="B166" s="12">
        <v>45861</v>
      </c>
      <c r="C166" s="13" t="s">
        <v>7</v>
      </c>
      <c r="D166" s="13">
        <v>65</v>
      </c>
      <c r="E166" s="13"/>
      <c r="F166" s="13">
        <v>0.17</v>
      </c>
      <c r="G166" s="14" t="s">
        <v>37</v>
      </c>
    </row>
    <row r="167" spans="1:7" x14ac:dyDescent="0.2">
      <c r="A167" s="5">
        <v>166</v>
      </c>
      <c r="B167" s="6">
        <v>45889</v>
      </c>
      <c r="C167" s="7" t="s">
        <v>6</v>
      </c>
      <c r="D167" s="7"/>
      <c r="E167" s="7">
        <v>12.8</v>
      </c>
      <c r="F167" s="7"/>
      <c r="G167" s="8" t="s">
        <v>38</v>
      </c>
    </row>
    <row r="168" spans="1:7" x14ac:dyDescent="0.2">
      <c r="A168" s="9">
        <v>167</v>
      </c>
      <c r="B168" s="1">
        <v>45889</v>
      </c>
      <c r="C168" t="s">
        <v>6</v>
      </c>
      <c r="E168">
        <v>13</v>
      </c>
      <c r="G168" s="10" t="s">
        <v>38</v>
      </c>
    </row>
    <row r="169" spans="1:7" x14ac:dyDescent="0.2">
      <c r="A169" s="9">
        <v>168</v>
      </c>
      <c r="B169" s="1">
        <v>45889</v>
      </c>
      <c r="C169" t="s">
        <v>6</v>
      </c>
      <c r="E169">
        <v>15.5</v>
      </c>
      <c r="F169">
        <v>0.17</v>
      </c>
      <c r="G169" s="10" t="s">
        <v>38</v>
      </c>
    </row>
    <row r="170" spans="1:7" ht="17" thickBot="1" x14ac:dyDescent="0.25">
      <c r="A170" s="11">
        <v>169</v>
      </c>
      <c r="B170" s="12">
        <v>45889</v>
      </c>
      <c r="C170" s="13" t="s">
        <v>6</v>
      </c>
      <c r="D170" s="13"/>
      <c r="E170" s="13">
        <v>12.9</v>
      </c>
      <c r="F170" s="13">
        <v>0.16</v>
      </c>
      <c r="G170" s="14" t="s">
        <v>38</v>
      </c>
    </row>
    <row r="171" spans="1:7" x14ac:dyDescent="0.2">
      <c r="A171" s="5">
        <v>170</v>
      </c>
      <c r="B171" s="6">
        <v>45903</v>
      </c>
      <c r="C171" s="7" t="s">
        <v>6</v>
      </c>
      <c r="D171" s="7"/>
      <c r="E171" s="7">
        <v>10.9</v>
      </c>
      <c r="F171" s="7">
        <v>0.19</v>
      </c>
      <c r="G171" s="8" t="s">
        <v>38</v>
      </c>
    </row>
    <row r="172" spans="1:7" ht="17" thickBot="1" x14ac:dyDescent="0.25">
      <c r="A172" s="11">
        <v>171</v>
      </c>
      <c r="B172" s="12">
        <v>45903</v>
      </c>
      <c r="C172" s="13" t="s">
        <v>6</v>
      </c>
      <c r="D172" s="13"/>
      <c r="E172" s="13">
        <v>15.1</v>
      </c>
      <c r="F172" s="13"/>
      <c r="G172" s="14" t="s">
        <v>38</v>
      </c>
    </row>
    <row r="173" spans="1:7" x14ac:dyDescent="0.2">
      <c r="A173" s="5">
        <v>172</v>
      </c>
      <c r="B173" s="6">
        <v>45917</v>
      </c>
      <c r="C173" s="7" t="s">
        <v>6</v>
      </c>
      <c r="D173" s="7"/>
      <c r="E173" s="7">
        <v>13.6</v>
      </c>
      <c r="F173" s="7">
        <v>0.09</v>
      </c>
      <c r="G173" s="8" t="s">
        <v>38</v>
      </c>
    </row>
    <row r="174" spans="1:7" x14ac:dyDescent="0.2">
      <c r="A174" s="9">
        <v>173</v>
      </c>
      <c r="B174" s="1">
        <v>45917</v>
      </c>
      <c r="C174" t="s">
        <v>7</v>
      </c>
      <c r="D174">
        <v>75.3</v>
      </c>
      <c r="F174">
        <v>0.17</v>
      </c>
      <c r="G174" s="10" t="s">
        <v>37</v>
      </c>
    </row>
    <row r="175" spans="1:7" ht="17" thickBot="1" x14ac:dyDescent="0.25">
      <c r="A175" s="11">
        <v>174</v>
      </c>
      <c r="B175" s="12">
        <v>45917</v>
      </c>
      <c r="C175" s="13" t="s">
        <v>7</v>
      </c>
      <c r="D175" s="13">
        <v>77.2</v>
      </c>
      <c r="E175" s="13"/>
      <c r="F175" s="50">
        <v>0.2</v>
      </c>
      <c r="G175" s="51" t="s">
        <v>37</v>
      </c>
    </row>
    <row r="176" spans="1:7" x14ac:dyDescent="0.2">
      <c r="A176" s="5">
        <v>175</v>
      </c>
      <c r="B176" s="6">
        <v>45931</v>
      </c>
      <c r="C176" s="7" t="s">
        <v>6</v>
      </c>
      <c r="D176" s="7"/>
      <c r="E176" s="7">
        <v>12.5</v>
      </c>
      <c r="F176" s="7"/>
      <c r="G176" s="8" t="s">
        <v>504</v>
      </c>
    </row>
    <row r="177" spans="1:7" x14ac:dyDescent="0.2">
      <c r="A177" s="9">
        <v>176</v>
      </c>
      <c r="B177" s="1">
        <v>45931</v>
      </c>
      <c r="C177" t="s">
        <v>6</v>
      </c>
      <c r="E177">
        <v>3.7</v>
      </c>
      <c r="F177">
        <v>0.27</v>
      </c>
      <c r="G177" s="10" t="s">
        <v>47</v>
      </c>
    </row>
    <row r="178" spans="1:7" ht="17" thickBot="1" x14ac:dyDescent="0.25">
      <c r="A178" s="11">
        <v>177</v>
      </c>
      <c r="B178" s="12">
        <v>45931</v>
      </c>
      <c r="C178" s="13" t="s">
        <v>7</v>
      </c>
      <c r="D178" s="13">
        <v>73.5</v>
      </c>
      <c r="E178" s="13"/>
      <c r="F178" s="13">
        <v>0.19</v>
      </c>
      <c r="G178" s="14" t="s">
        <v>37</v>
      </c>
    </row>
    <row r="179" spans="1:7" x14ac:dyDescent="0.2">
      <c r="A179" s="5">
        <v>178</v>
      </c>
      <c r="B179" s="6">
        <v>45945</v>
      </c>
      <c r="C179" s="7" t="s">
        <v>6</v>
      </c>
      <c r="D179" s="7"/>
      <c r="E179" s="7">
        <v>8.5</v>
      </c>
      <c r="F179" s="7">
        <v>0.14000000000000001</v>
      </c>
      <c r="G179" s="8" t="s">
        <v>38</v>
      </c>
    </row>
    <row r="180" spans="1:7" ht="17" thickBot="1" x14ac:dyDescent="0.25">
      <c r="A180" s="11">
        <v>179</v>
      </c>
      <c r="B180" s="12">
        <v>45945</v>
      </c>
      <c r="C180" s="13" t="s">
        <v>7</v>
      </c>
      <c r="D180" s="13">
        <v>77.900000000000006</v>
      </c>
      <c r="E180" s="13"/>
      <c r="F180" s="13">
        <v>0.2</v>
      </c>
      <c r="G180" s="14" t="s">
        <v>37</v>
      </c>
    </row>
    <row r="181" spans="1:7" x14ac:dyDescent="0.2">
      <c r="A181" s="5">
        <v>180</v>
      </c>
      <c r="B181" s="6">
        <v>45953</v>
      </c>
      <c r="C181" s="7" t="s">
        <v>6</v>
      </c>
      <c r="D181" s="7"/>
      <c r="E181" s="7">
        <v>13.3</v>
      </c>
      <c r="F181" s="7">
        <v>0.23</v>
      </c>
      <c r="G181" s="8" t="s">
        <v>38</v>
      </c>
    </row>
    <row r="182" spans="1:7" ht="17" thickBot="1" x14ac:dyDescent="0.25">
      <c r="A182" s="11">
        <v>181</v>
      </c>
      <c r="B182" s="12">
        <v>45953</v>
      </c>
      <c r="C182" s="13" t="s">
        <v>6</v>
      </c>
      <c r="D182" s="13"/>
      <c r="E182" s="13">
        <v>14.2</v>
      </c>
      <c r="F182" s="13">
        <v>0.39</v>
      </c>
      <c r="G182" s="14" t="s">
        <v>38</v>
      </c>
    </row>
    <row r="183" spans="1:7" x14ac:dyDescent="0.2">
      <c r="A183" s="5">
        <v>182</v>
      </c>
      <c r="B183" s="6">
        <v>45973</v>
      </c>
      <c r="C183" s="7" t="s">
        <v>6</v>
      </c>
      <c r="D183" s="7"/>
      <c r="E183" s="7">
        <v>13.2</v>
      </c>
      <c r="F183" s="7">
        <v>0.18</v>
      </c>
      <c r="G183" s="8" t="s">
        <v>38</v>
      </c>
    </row>
    <row r="184" spans="1:7" x14ac:dyDescent="0.2">
      <c r="A184" s="9">
        <v>183</v>
      </c>
      <c r="B184" s="1">
        <v>45973</v>
      </c>
      <c r="C184" t="s">
        <v>6</v>
      </c>
      <c r="E184">
        <v>8.9</v>
      </c>
      <c r="F184">
        <v>0.13</v>
      </c>
      <c r="G184" s="10" t="s">
        <v>38</v>
      </c>
    </row>
    <row r="185" spans="1:7" x14ac:dyDescent="0.2">
      <c r="A185" s="9">
        <v>184</v>
      </c>
      <c r="B185" s="1">
        <v>45973</v>
      </c>
      <c r="C185" t="s">
        <v>6</v>
      </c>
      <c r="E185">
        <v>12.3</v>
      </c>
      <c r="G185" s="10" t="s">
        <v>38</v>
      </c>
    </row>
    <row r="186" spans="1:7" ht="17" thickBot="1" x14ac:dyDescent="0.25">
      <c r="A186" s="11">
        <v>185</v>
      </c>
      <c r="B186" s="12">
        <v>45973</v>
      </c>
      <c r="C186" s="13" t="s">
        <v>7</v>
      </c>
      <c r="D186" s="13">
        <v>71.400000000000006</v>
      </c>
      <c r="E186" s="13"/>
      <c r="F186" s="13">
        <v>0.2</v>
      </c>
      <c r="G186" s="14" t="s">
        <v>37</v>
      </c>
    </row>
    <row r="187" spans="1:7" x14ac:dyDescent="0.2">
      <c r="A187" s="5">
        <v>186</v>
      </c>
      <c r="B187" s="6">
        <v>45987</v>
      </c>
      <c r="C187" s="7" t="s">
        <v>7</v>
      </c>
      <c r="D187" s="7">
        <v>66.3</v>
      </c>
      <c r="E187" s="7"/>
      <c r="F187" s="7">
        <v>0.18</v>
      </c>
      <c r="G187" s="8" t="s">
        <v>37</v>
      </c>
    </row>
    <row r="188" spans="1:7" x14ac:dyDescent="0.2">
      <c r="A188" s="9">
        <v>187</v>
      </c>
      <c r="B188" s="1">
        <v>45987</v>
      </c>
      <c r="C188" t="s">
        <v>7</v>
      </c>
      <c r="D188">
        <v>69.5</v>
      </c>
      <c r="F188" s="46">
        <v>0.16</v>
      </c>
      <c r="G188" s="10" t="s">
        <v>37</v>
      </c>
    </row>
    <row r="189" spans="1:7" x14ac:dyDescent="0.2">
      <c r="A189" s="9">
        <v>188</v>
      </c>
      <c r="B189" s="1">
        <v>45987</v>
      </c>
      <c r="C189" t="s">
        <v>6</v>
      </c>
      <c r="E189">
        <v>8.1</v>
      </c>
      <c r="F189">
        <v>0.2</v>
      </c>
      <c r="G189" s="10" t="s">
        <v>38</v>
      </c>
    </row>
    <row r="190" spans="1:7" ht="17" thickBot="1" x14ac:dyDescent="0.25">
      <c r="A190" s="11">
        <v>189</v>
      </c>
      <c r="B190" s="56">
        <v>45987</v>
      </c>
      <c r="C190" s="50" t="s">
        <v>6</v>
      </c>
      <c r="D190" s="50"/>
      <c r="E190" s="50">
        <v>12.6</v>
      </c>
      <c r="F190" s="50"/>
      <c r="G190" s="51" t="s">
        <v>38</v>
      </c>
    </row>
    <row r="191" spans="1:7" x14ac:dyDescent="0.2">
      <c r="A191" s="5">
        <v>190</v>
      </c>
      <c r="B191" s="6">
        <v>46194</v>
      </c>
      <c r="C191" s="7" t="s">
        <v>6</v>
      </c>
      <c r="D191" s="7"/>
      <c r="E191" s="7">
        <v>10.8</v>
      </c>
      <c r="F191" s="7">
        <v>0.11</v>
      </c>
      <c r="G191" s="8" t="s">
        <v>47</v>
      </c>
    </row>
    <row r="192" spans="1:7" ht="17" thickBot="1" x14ac:dyDescent="0.25">
      <c r="A192" s="11">
        <v>191</v>
      </c>
      <c r="B192" s="12">
        <v>46043</v>
      </c>
      <c r="C192" s="13" t="s">
        <v>6</v>
      </c>
      <c r="D192" s="13"/>
      <c r="E192" s="41">
        <v>8.9</v>
      </c>
      <c r="F192" s="13"/>
      <c r="G192" s="14" t="s">
        <v>47</v>
      </c>
    </row>
    <row r="193" spans="1:7" x14ac:dyDescent="0.2">
      <c r="A193" s="5">
        <v>192</v>
      </c>
      <c r="B193" s="6">
        <v>46057</v>
      </c>
      <c r="C193" s="7" t="s">
        <v>6</v>
      </c>
      <c r="D193" s="7"/>
      <c r="E193" s="7">
        <v>18.2</v>
      </c>
      <c r="F193" s="7">
        <v>0.14000000000000001</v>
      </c>
      <c r="G193" s="8" t="s">
        <v>47</v>
      </c>
    </row>
    <row r="194" spans="1:7" ht="17" thickBot="1" x14ac:dyDescent="0.25">
      <c r="A194" s="11">
        <v>193</v>
      </c>
      <c r="B194" s="12">
        <v>46057</v>
      </c>
      <c r="C194" s="13" t="s">
        <v>6</v>
      </c>
      <c r="D194" s="13"/>
      <c r="E194" s="13">
        <v>11</v>
      </c>
      <c r="F194" s="13">
        <v>0.2</v>
      </c>
      <c r="G194" s="14" t="s">
        <v>47</v>
      </c>
    </row>
    <row r="195" spans="1:7" x14ac:dyDescent="0.2">
      <c r="A195" s="5">
        <v>194</v>
      </c>
      <c r="B195" s="6">
        <v>46085</v>
      </c>
      <c r="C195" s="7" t="s">
        <v>7</v>
      </c>
      <c r="D195" s="7">
        <v>75.7</v>
      </c>
      <c r="E195" s="7"/>
      <c r="F195" s="7">
        <v>0.46</v>
      </c>
      <c r="G195" s="8" t="s">
        <v>37</v>
      </c>
    </row>
    <row r="196" spans="1:7" x14ac:dyDescent="0.2">
      <c r="A196" s="9">
        <v>195</v>
      </c>
      <c r="B196" s="1">
        <v>46085</v>
      </c>
      <c r="C196" t="s">
        <v>6</v>
      </c>
      <c r="E196">
        <v>12.5</v>
      </c>
      <c r="G196" s="10" t="s">
        <v>47</v>
      </c>
    </row>
    <row r="197" spans="1:7" ht="17" thickBot="1" x14ac:dyDescent="0.25">
      <c r="A197" s="11">
        <v>196</v>
      </c>
      <c r="B197" s="12">
        <v>46085</v>
      </c>
      <c r="C197" s="13" t="s">
        <v>7</v>
      </c>
      <c r="D197" s="13">
        <v>71.8</v>
      </c>
      <c r="E197" s="13"/>
      <c r="F197" s="13">
        <v>0.22</v>
      </c>
      <c r="G197" s="14" t="s">
        <v>37</v>
      </c>
    </row>
    <row r="198" spans="1:7" x14ac:dyDescent="0.2">
      <c r="A198" s="5">
        <v>197</v>
      </c>
      <c r="B198" s="6">
        <v>46099</v>
      </c>
      <c r="C198" s="7" t="s">
        <v>7</v>
      </c>
      <c r="D198" s="7">
        <v>74</v>
      </c>
      <c r="E198" s="7"/>
      <c r="F198" s="7" t="s">
        <v>622</v>
      </c>
      <c r="G198" s="8" t="s">
        <v>37</v>
      </c>
    </row>
    <row r="199" spans="1:7" x14ac:dyDescent="0.2">
      <c r="A199" s="9">
        <v>198</v>
      </c>
      <c r="B199" s="1">
        <v>46099</v>
      </c>
      <c r="C199" t="s">
        <v>7</v>
      </c>
      <c r="D199">
        <v>60.8</v>
      </c>
      <c r="F199" t="s">
        <v>626</v>
      </c>
      <c r="G199" s="10" t="s">
        <v>37</v>
      </c>
    </row>
    <row r="200" spans="1:7" ht="17" thickBot="1" x14ac:dyDescent="0.25">
      <c r="A200" s="11">
        <v>199</v>
      </c>
      <c r="B200" s="12">
        <v>46099</v>
      </c>
      <c r="C200" s="13" t="s">
        <v>6</v>
      </c>
      <c r="D200" s="13"/>
      <c r="E200" s="13">
        <v>11</v>
      </c>
      <c r="F200" s="13" t="s">
        <v>633</v>
      </c>
      <c r="G200" s="14" t="s">
        <v>47</v>
      </c>
    </row>
    <row r="201" spans="1:7" x14ac:dyDescent="0.2">
      <c r="A201" s="5">
        <v>200</v>
      </c>
      <c r="B201" s="6">
        <v>46113</v>
      </c>
      <c r="C201" s="7" t="s">
        <v>6</v>
      </c>
      <c r="D201" s="7"/>
      <c r="E201" s="7">
        <v>19.2</v>
      </c>
      <c r="F201" s="7" t="s">
        <v>625</v>
      </c>
      <c r="G201" s="8" t="s">
        <v>47</v>
      </c>
    </row>
    <row r="202" spans="1:7" x14ac:dyDescent="0.2">
      <c r="A202" s="9">
        <v>201</v>
      </c>
      <c r="B202" s="1">
        <v>46113</v>
      </c>
      <c r="C202" t="s">
        <v>6</v>
      </c>
      <c r="E202">
        <v>13.1</v>
      </c>
      <c r="G202" s="10" t="s">
        <v>47</v>
      </c>
    </row>
    <row r="203" spans="1:7" ht="17" thickBot="1" x14ac:dyDescent="0.25">
      <c r="A203" s="11">
        <v>202</v>
      </c>
      <c r="B203" s="12">
        <v>46113</v>
      </c>
      <c r="C203" s="13" t="s">
        <v>7</v>
      </c>
      <c r="D203" s="13">
        <v>57.1</v>
      </c>
      <c r="E203" s="13"/>
      <c r="F203" s="13" t="s">
        <v>647</v>
      </c>
      <c r="G203" s="14" t="s">
        <v>37</v>
      </c>
    </row>
  </sheetData>
  <sortState xmlns:xlrd2="http://schemas.microsoft.com/office/spreadsheetml/2017/richdata2" ref="U2:AA26">
    <sortCondition ref="W2:W26"/>
  </sortState>
  <mergeCells count="4">
    <mergeCell ref="K2:L2"/>
    <mergeCell ref="M2:N2"/>
    <mergeCell ref="O2:P2"/>
    <mergeCell ref="Q2:R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23A2-17F5-2A4F-9441-4FF1D81CDBAA}">
  <dimension ref="A1:L231"/>
  <sheetViews>
    <sheetView topLeftCell="A208" workbookViewId="0">
      <selection activeCell="K239" sqref="K239"/>
    </sheetView>
  </sheetViews>
  <sheetFormatPr baseColWidth="10" defaultRowHeight="16" x14ac:dyDescent="0.2"/>
  <sheetData>
    <row r="1" spans="1:10" ht="17" thickBot="1" x14ac:dyDescent="0.25">
      <c r="A1" s="2" t="s">
        <v>0</v>
      </c>
      <c r="B1" s="3" t="s">
        <v>4</v>
      </c>
      <c r="C1" s="3" t="s">
        <v>1</v>
      </c>
      <c r="D1" s="3" t="s">
        <v>2</v>
      </c>
      <c r="E1" s="3" t="s">
        <v>3</v>
      </c>
      <c r="F1" s="3" t="s">
        <v>13</v>
      </c>
      <c r="G1" s="3" t="s">
        <v>14</v>
      </c>
      <c r="H1" s="4" t="s">
        <v>16</v>
      </c>
    </row>
    <row r="2" spans="1:10" x14ac:dyDescent="0.2">
      <c r="A2" s="9">
        <v>10</v>
      </c>
      <c r="B2" s="1">
        <v>44909</v>
      </c>
      <c r="C2" t="s">
        <v>7</v>
      </c>
      <c r="D2">
        <v>61.2</v>
      </c>
      <c r="E2">
        <v>54.6</v>
      </c>
      <c r="H2" s="10"/>
    </row>
    <row r="3" spans="1:10" ht="17" thickBot="1" x14ac:dyDescent="0.25">
      <c r="A3" s="9">
        <v>11</v>
      </c>
      <c r="B3" s="1">
        <v>44909</v>
      </c>
      <c r="C3" t="s">
        <v>5</v>
      </c>
      <c r="E3">
        <v>80.2</v>
      </c>
      <c r="H3" s="10" t="s">
        <v>41</v>
      </c>
      <c r="J3">
        <f>E3-D2</f>
        <v>19</v>
      </c>
    </row>
    <row r="4" spans="1:10" x14ac:dyDescent="0.2">
      <c r="A4" s="5">
        <v>13</v>
      </c>
      <c r="B4" s="6">
        <v>44916</v>
      </c>
      <c r="C4" s="7" t="s">
        <v>7</v>
      </c>
      <c r="D4" s="7">
        <v>61.8</v>
      </c>
      <c r="E4" s="7">
        <v>55.2</v>
      </c>
      <c r="F4" s="7"/>
      <c r="G4" s="7"/>
      <c r="H4" s="8"/>
    </row>
    <row r="5" spans="1:10" x14ac:dyDescent="0.2">
      <c r="A5" s="9">
        <v>14</v>
      </c>
      <c r="B5" s="1">
        <v>44916</v>
      </c>
      <c r="C5" t="s">
        <v>7</v>
      </c>
      <c r="D5">
        <v>78.3</v>
      </c>
      <c r="E5">
        <v>69.900000000000006</v>
      </c>
      <c r="H5" s="10"/>
    </row>
    <row r="6" spans="1:10" x14ac:dyDescent="0.2">
      <c r="A6" s="9">
        <v>20</v>
      </c>
      <c r="B6" s="1">
        <v>44916</v>
      </c>
      <c r="C6" t="s">
        <v>5</v>
      </c>
      <c r="E6">
        <v>79.099999999999994</v>
      </c>
      <c r="H6" s="10" t="s">
        <v>19</v>
      </c>
      <c r="J6">
        <f>E6-D4</f>
        <v>17.299999999999997</v>
      </c>
    </row>
    <row r="7" spans="1:10" ht="17" thickBot="1" x14ac:dyDescent="0.25">
      <c r="A7" s="11">
        <v>21</v>
      </c>
      <c r="B7" s="12">
        <v>44916</v>
      </c>
      <c r="C7" s="13" t="s">
        <v>5</v>
      </c>
      <c r="D7" s="13"/>
      <c r="E7" s="13">
        <v>88.1</v>
      </c>
      <c r="F7" s="13"/>
      <c r="G7" s="13"/>
      <c r="H7" s="14" t="s">
        <v>20</v>
      </c>
      <c r="J7">
        <f>E7-D5</f>
        <v>9.7999999999999972</v>
      </c>
    </row>
    <row r="8" spans="1:10" x14ac:dyDescent="0.2">
      <c r="A8" s="9">
        <v>30</v>
      </c>
      <c r="B8" s="1">
        <v>44937</v>
      </c>
      <c r="C8" t="s">
        <v>7</v>
      </c>
      <c r="D8">
        <v>57.9</v>
      </c>
      <c r="E8">
        <v>51.7</v>
      </c>
      <c r="G8" t="s">
        <v>18</v>
      </c>
      <c r="H8" s="10"/>
    </row>
    <row r="9" spans="1:10" ht="17" thickBot="1" x14ac:dyDescent="0.25">
      <c r="A9" s="11">
        <v>31</v>
      </c>
      <c r="B9" s="12">
        <v>44937</v>
      </c>
      <c r="C9" s="13" t="s">
        <v>5</v>
      </c>
      <c r="D9" s="13"/>
      <c r="E9" s="13">
        <v>79.2</v>
      </c>
      <c r="F9" s="13"/>
      <c r="G9" s="13"/>
      <c r="H9" s="14" t="s">
        <v>39</v>
      </c>
      <c r="J9">
        <f>E9-D8</f>
        <v>21.300000000000004</v>
      </c>
    </row>
    <row r="10" spans="1:10" x14ac:dyDescent="0.2">
      <c r="A10" s="9">
        <v>50</v>
      </c>
      <c r="B10" s="1">
        <v>44958</v>
      </c>
      <c r="C10" t="s">
        <v>7</v>
      </c>
      <c r="D10">
        <v>45.7</v>
      </c>
      <c r="E10">
        <v>40.799999999999997</v>
      </c>
      <c r="G10" t="s">
        <v>18</v>
      </c>
      <c r="H10" s="10"/>
    </row>
    <row r="11" spans="1:10" x14ac:dyDescent="0.2">
      <c r="A11" s="9">
        <v>51</v>
      </c>
      <c r="B11" s="1">
        <v>44958</v>
      </c>
      <c r="C11" t="s">
        <v>5</v>
      </c>
      <c r="E11">
        <v>69.099999999999994</v>
      </c>
      <c r="H11" s="10" t="s">
        <v>68</v>
      </c>
      <c r="J11">
        <f t="shared" ref="J11:J45" si="0">E11-D10</f>
        <v>23.399999999999991</v>
      </c>
    </row>
    <row r="12" spans="1:10" x14ac:dyDescent="0.2">
      <c r="A12" s="9">
        <v>56</v>
      </c>
      <c r="B12" s="1">
        <v>44979</v>
      </c>
      <c r="C12" t="s">
        <v>7</v>
      </c>
      <c r="D12">
        <v>71.8</v>
      </c>
      <c r="E12">
        <v>64.099999999999994</v>
      </c>
      <c r="F12">
        <v>0.16</v>
      </c>
      <c r="G12" t="s">
        <v>37</v>
      </c>
      <c r="H12" s="10"/>
    </row>
    <row r="13" spans="1:10" x14ac:dyDescent="0.2">
      <c r="A13" s="9">
        <v>57</v>
      </c>
      <c r="B13" s="1">
        <v>44979</v>
      </c>
      <c r="C13" t="s">
        <v>21</v>
      </c>
      <c r="E13">
        <v>74.3</v>
      </c>
      <c r="H13" s="10" t="s">
        <v>69</v>
      </c>
      <c r="J13">
        <f t="shared" si="0"/>
        <v>2.5</v>
      </c>
    </row>
    <row r="14" spans="1:10" x14ac:dyDescent="0.2">
      <c r="A14" s="9">
        <v>59</v>
      </c>
      <c r="B14" s="1">
        <v>44979</v>
      </c>
      <c r="C14" t="s">
        <v>7</v>
      </c>
      <c r="D14">
        <v>71.7</v>
      </c>
      <c r="E14">
        <v>64</v>
      </c>
      <c r="F14">
        <v>0.2</v>
      </c>
      <c r="H14" s="10"/>
    </row>
    <row r="15" spans="1:10" x14ac:dyDescent="0.2">
      <c r="A15" s="9">
        <v>60</v>
      </c>
      <c r="B15" s="1">
        <v>44979</v>
      </c>
      <c r="C15" t="s">
        <v>21</v>
      </c>
      <c r="E15">
        <v>77</v>
      </c>
      <c r="H15" s="10" t="s">
        <v>70</v>
      </c>
      <c r="J15">
        <f t="shared" si="0"/>
        <v>5.2999999999999972</v>
      </c>
    </row>
    <row r="16" spans="1:10" x14ac:dyDescent="0.2">
      <c r="A16" s="9">
        <v>65</v>
      </c>
      <c r="B16" s="1">
        <v>45014</v>
      </c>
      <c r="C16" t="s">
        <v>7</v>
      </c>
      <c r="D16">
        <v>80.3</v>
      </c>
      <c r="E16">
        <v>71.7</v>
      </c>
      <c r="G16" t="s">
        <v>37</v>
      </c>
      <c r="H16" s="10"/>
    </row>
    <row r="17" spans="1:10" x14ac:dyDescent="0.2">
      <c r="A17" s="9">
        <v>66</v>
      </c>
      <c r="B17" s="1">
        <v>45014</v>
      </c>
      <c r="C17" t="s">
        <v>5</v>
      </c>
      <c r="E17">
        <v>81.599999999999994</v>
      </c>
      <c r="H17" s="10" t="s">
        <v>71</v>
      </c>
      <c r="J17">
        <f t="shared" si="0"/>
        <v>1.2999999999999972</v>
      </c>
    </row>
    <row r="18" spans="1:10" x14ac:dyDescent="0.2">
      <c r="A18" s="9">
        <v>71</v>
      </c>
      <c r="B18" s="1">
        <v>45042</v>
      </c>
      <c r="C18" t="s">
        <v>7</v>
      </c>
      <c r="D18">
        <v>98.1</v>
      </c>
      <c r="E18">
        <v>87.6</v>
      </c>
      <c r="F18">
        <v>0.2</v>
      </c>
      <c r="H18" s="10"/>
    </row>
    <row r="19" spans="1:10" x14ac:dyDescent="0.2">
      <c r="A19" s="9">
        <v>72</v>
      </c>
      <c r="B19" s="1">
        <v>45042</v>
      </c>
      <c r="C19" t="s">
        <v>21</v>
      </c>
      <c r="E19">
        <v>81.5</v>
      </c>
      <c r="F19">
        <v>0.18</v>
      </c>
      <c r="H19" s="10" t="s">
        <v>72</v>
      </c>
      <c r="J19">
        <f t="shared" si="0"/>
        <v>-16.599999999999994</v>
      </c>
    </row>
    <row r="20" spans="1:10" x14ac:dyDescent="0.2">
      <c r="A20" s="9">
        <v>75</v>
      </c>
      <c r="B20" s="1">
        <v>45042</v>
      </c>
      <c r="C20" t="s">
        <v>7</v>
      </c>
      <c r="D20">
        <v>78.900000000000006</v>
      </c>
      <c r="E20">
        <v>70.400000000000006</v>
      </c>
      <c r="F20">
        <v>0.12</v>
      </c>
      <c r="H20" s="10"/>
    </row>
    <row r="21" spans="1:10" x14ac:dyDescent="0.2">
      <c r="A21" s="9">
        <v>76</v>
      </c>
      <c r="B21" s="1">
        <v>45042</v>
      </c>
      <c r="C21" t="s">
        <v>5</v>
      </c>
      <c r="E21">
        <v>76.3</v>
      </c>
      <c r="F21">
        <v>0.16</v>
      </c>
      <c r="H21" s="10" t="s">
        <v>73</v>
      </c>
      <c r="J21">
        <f t="shared" si="0"/>
        <v>-2.6000000000000085</v>
      </c>
    </row>
    <row r="22" spans="1:10" x14ac:dyDescent="0.2">
      <c r="A22" s="9">
        <v>79</v>
      </c>
      <c r="B22" s="1">
        <v>45042</v>
      </c>
      <c r="C22" t="s">
        <v>7</v>
      </c>
      <c r="D22">
        <v>79.8</v>
      </c>
      <c r="E22">
        <v>71.2</v>
      </c>
      <c r="F22">
        <v>0.16</v>
      </c>
      <c r="H22" s="10"/>
    </row>
    <row r="23" spans="1:10" x14ac:dyDescent="0.2">
      <c r="A23" s="9">
        <v>80</v>
      </c>
      <c r="B23" s="1">
        <v>45042</v>
      </c>
      <c r="C23" t="s">
        <v>5</v>
      </c>
      <c r="E23">
        <v>77.2</v>
      </c>
      <c r="F23">
        <v>0.09</v>
      </c>
      <c r="H23" s="10" t="s">
        <v>74</v>
      </c>
      <c r="J23">
        <f t="shared" si="0"/>
        <v>-2.5999999999999943</v>
      </c>
    </row>
    <row r="24" spans="1:10" x14ac:dyDescent="0.2">
      <c r="A24" s="9">
        <v>81</v>
      </c>
      <c r="B24" s="1">
        <v>45042</v>
      </c>
      <c r="C24" t="s">
        <v>7</v>
      </c>
      <c r="D24">
        <v>73.3</v>
      </c>
      <c r="E24">
        <v>65.400000000000006</v>
      </c>
      <c r="F24">
        <v>0.16</v>
      </c>
      <c r="G24" t="s">
        <v>18</v>
      </c>
      <c r="H24" s="10"/>
    </row>
    <row r="25" spans="1:10" ht="17" thickBot="1" x14ac:dyDescent="0.25">
      <c r="A25" s="11">
        <v>82</v>
      </c>
      <c r="B25" s="12">
        <v>45042</v>
      </c>
      <c r="C25" s="13" t="s">
        <v>5</v>
      </c>
      <c r="D25" s="13"/>
      <c r="E25" s="13">
        <v>79.7</v>
      </c>
      <c r="F25" s="13">
        <v>0.08</v>
      </c>
      <c r="G25" s="13"/>
      <c r="H25" s="14" t="s">
        <v>48</v>
      </c>
      <c r="J25">
        <f t="shared" si="0"/>
        <v>6.4000000000000057</v>
      </c>
    </row>
    <row r="26" spans="1:10" x14ac:dyDescent="0.2">
      <c r="A26" s="9">
        <v>88</v>
      </c>
      <c r="B26" s="1">
        <v>45070</v>
      </c>
      <c r="C26" t="s">
        <v>7</v>
      </c>
      <c r="D26">
        <v>76.099999999999994</v>
      </c>
      <c r="E26">
        <v>67.900000000000006</v>
      </c>
      <c r="F26">
        <v>0.18</v>
      </c>
      <c r="H26" s="10"/>
    </row>
    <row r="27" spans="1:10" x14ac:dyDescent="0.2">
      <c r="A27" s="9">
        <v>89</v>
      </c>
      <c r="B27" s="1">
        <v>45070</v>
      </c>
      <c r="C27" t="s">
        <v>5</v>
      </c>
      <c r="E27">
        <v>84</v>
      </c>
      <c r="F27">
        <v>0.14000000000000001</v>
      </c>
      <c r="H27" s="10" t="s">
        <v>50</v>
      </c>
      <c r="J27">
        <f t="shared" si="0"/>
        <v>7.9000000000000057</v>
      </c>
    </row>
    <row r="28" spans="1:10" x14ac:dyDescent="0.2">
      <c r="A28" s="9">
        <v>92</v>
      </c>
      <c r="B28" s="1">
        <v>45070</v>
      </c>
      <c r="C28" t="s">
        <v>7</v>
      </c>
      <c r="D28">
        <v>86.1</v>
      </c>
      <c r="E28">
        <v>76.900000000000006</v>
      </c>
      <c r="F28">
        <v>0.16</v>
      </c>
      <c r="H28" s="10"/>
    </row>
    <row r="29" spans="1:10" x14ac:dyDescent="0.2">
      <c r="A29" s="9">
        <v>93</v>
      </c>
      <c r="B29" s="1">
        <v>45070</v>
      </c>
      <c r="C29" t="s">
        <v>5</v>
      </c>
      <c r="E29">
        <v>86</v>
      </c>
      <c r="F29">
        <v>0.12</v>
      </c>
      <c r="H29" s="10" t="s">
        <v>75</v>
      </c>
      <c r="J29">
        <f t="shared" si="0"/>
        <v>-9.9999999999994316E-2</v>
      </c>
    </row>
    <row r="30" spans="1:10" x14ac:dyDescent="0.2">
      <c r="A30" s="9">
        <v>106</v>
      </c>
      <c r="B30" s="1">
        <v>45210</v>
      </c>
      <c r="C30" t="s">
        <v>7</v>
      </c>
      <c r="D30">
        <v>53.5</v>
      </c>
      <c r="E30">
        <v>47.8</v>
      </c>
      <c r="G30" t="s">
        <v>37</v>
      </c>
      <c r="H30" s="10"/>
    </row>
    <row r="31" spans="1:10" x14ac:dyDescent="0.2">
      <c r="A31" s="9">
        <v>107</v>
      </c>
      <c r="B31" s="1">
        <v>45210</v>
      </c>
      <c r="C31" t="s">
        <v>5</v>
      </c>
      <c r="E31">
        <v>78.900000000000006</v>
      </c>
      <c r="H31" s="10" t="s">
        <v>63</v>
      </c>
      <c r="J31">
        <f t="shared" si="0"/>
        <v>25.400000000000006</v>
      </c>
    </row>
    <row r="32" spans="1:10" x14ac:dyDescent="0.2">
      <c r="A32" s="9">
        <v>109</v>
      </c>
      <c r="B32" s="1">
        <v>45210</v>
      </c>
      <c r="C32" t="s">
        <v>7</v>
      </c>
      <c r="D32">
        <v>71</v>
      </c>
      <c r="E32">
        <v>63.4</v>
      </c>
      <c r="H32" s="10"/>
    </row>
    <row r="33" spans="1:10" x14ac:dyDescent="0.2">
      <c r="A33" s="9">
        <v>110</v>
      </c>
      <c r="B33" s="1">
        <v>45210</v>
      </c>
      <c r="C33" t="s">
        <v>5</v>
      </c>
      <c r="E33">
        <v>75.599999999999994</v>
      </c>
      <c r="H33" s="10" t="s">
        <v>76</v>
      </c>
      <c r="J33">
        <f t="shared" si="0"/>
        <v>4.5999999999999943</v>
      </c>
    </row>
    <row r="34" spans="1:10" x14ac:dyDescent="0.2">
      <c r="A34" s="9">
        <v>115</v>
      </c>
      <c r="B34" s="1">
        <v>45210</v>
      </c>
      <c r="C34" t="s">
        <v>7</v>
      </c>
      <c r="D34">
        <v>69.900000000000006</v>
      </c>
      <c r="E34">
        <v>62.4</v>
      </c>
      <c r="H34" s="10"/>
    </row>
    <row r="35" spans="1:10" x14ac:dyDescent="0.2">
      <c r="A35" s="9">
        <v>116</v>
      </c>
      <c r="B35" s="1">
        <v>45210</v>
      </c>
      <c r="C35" t="s">
        <v>5</v>
      </c>
      <c r="E35">
        <v>77.8</v>
      </c>
      <c r="H35" s="10" t="s">
        <v>77</v>
      </c>
      <c r="J35">
        <f t="shared" si="0"/>
        <v>7.8999999999999915</v>
      </c>
    </row>
    <row r="36" spans="1:10" x14ac:dyDescent="0.2">
      <c r="A36" s="9">
        <v>119</v>
      </c>
      <c r="B36" s="1">
        <v>45210</v>
      </c>
      <c r="C36" t="s">
        <v>7</v>
      </c>
      <c r="D36">
        <v>69.900000000000006</v>
      </c>
      <c r="E36">
        <v>62.4</v>
      </c>
      <c r="H36" s="10"/>
    </row>
    <row r="37" spans="1:10" x14ac:dyDescent="0.2">
      <c r="A37" s="9">
        <v>120</v>
      </c>
      <c r="B37" s="1">
        <v>45210</v>
      </c>
      <c r="C37" t="s">
        <v>5</v>
      </c>
      <c r="E37">
        <v>77.900000000000006</v>
      </c>
      <c r="H37" s="10" t="s">
        <v>64</v>
      </c>
      <c r="J37">
        <f t="shared" si="0"/>
        <v>8</v>
      </c>
    </row>
    <row r="38" spans="1:10" x14ac:dyDescent="0.2">
      <c r="A38" s="9">
        <v>124</v>
      </c>
      <c r="B38" s="1">
        <v>45245</v>
      </c>
      <c r="C38" t="s">
        <v>7</v>
      </c>
      <c r="D38">
        <v>57.7</v>
      </c>
      <c r="E38">
        <v>51.5</v>
      </c>
      <c r="G38" t="s">
        <v>37</v>
      </c>
      <c r="H38" s="10"/>
    </row>
    <row r="39" spans="1:10" x14ac:dyDescent="0.2">
      <c r="A39" s="9">
        <v>125</v>
      </c>
      <c r="B39" s="1">
        <v>45245</v>
      </c>
      <c r="C39" t="s">
        <v>5</v>
      </c>
      <c r="E39">
        <v>82.4</v>
      </c>
      <c r="H39" s="10" t="s">
        <v>79</v>
      </c>
      <c r="J39">
        <f t="shared" si="0"/>
        <v>24.700000000000003</v>
      </c>
    </row>
    <row r="40" spans="1:10" x14ac:dyDescent="0.2">
      <c r="A40" s="9">
        <v>126</v>
      </c>
      <c r="B40" s="1">
        <v>45245</v>
      </c>
      <c r="C40" t="s">
        <v>7</v>
      </c>
      <c r="D40">
        <v>77.8</v>
      </c>
      <c r="E40">
        <v>69.5</v>
      </c>
      <c r="H40" s="10"/>
    </row>
    <row r="41" spans="1:10" x14ac:dyDescent="0.2">
      <c r="A41" s="9">
        <v>127</v>
      </c>
      <c r="B41" s="1">
        <v>45245</v>
      </c>
      <c r="C41" t="s">
        <v>5</v>
      </c>
      <c r="E41">
        <v>82.8</v>
      </c>
      <c r="H41" s="10" t="s">
        <v>78</v>
      </c>
      <c r="J41">
        <f t="shared" si="0"/>
        <v>5</v>
      </c>
    </row>
    <row r="42" spans="1:10" x14ac:dyDescent="0.2">
      <c r="A42" s="9">
        <v>128</v>
      </c>
      <c r="B42" s="1">
        <v>45245</v>
      </c>
      <c r="C42" t="s">
        <v>7</v>
      </c>
      <c r="D42">
        <v>63.4</v>
      </c>
      <c r="E42">
        <v>56.6</v>
      </c>
      <c r="G42" t="s">
        <v>37</v>
      </c>
      <c r="H42" s="10"/>
    </row>
    <row r="43" spans="1:10" x14ac:dyDescent="0.2">
      <c r="A43" s="9">
        <v>129</v>
      </c>
      <c r="B43" s="1">
        <v>45245</v>
      </c>
      <c r="C43" t="s">
        <v>5</v>
      </c>
      <c r="E43">
        <v>76.5</v>
      </c>
      <c r="H43" s="10" t="s">
        <v>80</v>
      </c>
      <c r="J43">
        <f t="shared" si="0"/>
        <v>13.100000000000001</v>
      </c>
    </row>
    <row r="44" spans="1:10" x14ac:dyDescent="0.2">
      <c r="A44" s="9">
        <v>137</v>
      </c>
      <c r="B44" s="1">
        <v>45315</v>
      </c>
      <c r="C44" t="s">
        <v>7</v>
      </c>
      <c r="D44">
        <v>65.2</v>
      </c>
      <c r="E44">
        <v>58.2</v>
      </c>
      <c r="F44">
        <v>0.15</v>
      </c>
      <c r="G44" t="s">
        <v>57</v>
      </c>
      <c r="H44" s="10" t="s">
        <v>59</v>
      </c>
    </row>
    <row r="45" spans="1:10" x14ac:dyDescent="0.2">
      <c r="A45" s="9">
        <v>138</v>
      </c>
      <c r="B45" s="1">
        <v>45315</v>
      </c>
      <c r="C45" t="s">
        <v>5</v>
      </c>
      <c r="E45">
        <v>84.1</v>
      </c>
      <c r="F45">
        <v>0.09</v>
      </c>
      <c r="H45" s="10" t="s">
        <v>81</v>
      </c>
      <c r="J45">
        <f t="shared" si="0"/>
        <v>18.899999999999991</v>
      </c>
    </row>
    <row r="46" spans="1:10" x14ac:dyDescent="0.2">
      <c r="A46" s="9">
        <v>144</v>
      </c>
      <c r="B46" s="1">
        <v>45315</v>
      </c>
      <c r="C46" t="s">
        <v>7</v>
      </c>
      <c r="D46">
        <v>63.1</v>
      </c>
      <c r="E46">
        <v>56.3</v>
      </c>
      <c r="F46">
        <v>0.24</v>
      </c>
      <c r="G46" t="s">
        <v>18</v>
      </c>
      <c r="H46" s="10" t="s">
        <v>66</v>
      </c>
    </row>
    <row r="47" spans="1:10" x14ac:dyDescent="0.2">
      <c r="A47" s="9">
        <v>145</v>
      </c>
      <c r="B47" s="1">
        <v>45315</v>
      </c>
      <c r="C47" t="s">
        <v>5</v>
      </c>
      <c r="E47">
        <v>74.3</v>
      </c>
      <c r="F47">
        <v>0.15</v>
      </c>
      <c r="H47" s="10" t="s">
        <v>67</v>
      </c>
      <c r="J47">
        <f>E47-D46</f>
        <v>11.199999999999996</v>
      </c>
    </row>
    <row r="48" spans="1:10" x14ac:dyDescent="0.2">
      <c r="A48" s="9">
        <v>149</v>
      </c>
      <c r="B48" s="1">
        <v>45352</v>
      </c>
      <c r="C48" t="s">
        <v>7</v>
      </c>
      <c r="D48">
        <v>61.5</v>
      </c>
      <c r="E48">
        <v>54.9</v>
      </c>
      <c r="F48">
        <v>0.18</v>
      </c>
      <c r="G48" t="s">
        <v>37</v>
      </c>
      <c r="H48" s="10"/>
    </row>
    <row r="49" spans="1:12" x14ac:dyDescent="0.2">
      <c r="A49" s="9">
        <v>152</v>
      </c>
      <c r="B49" s="1">
        <v>45352</v>
      </c>
      <c r="C49" t="s">
        <v>21</v>
      </c>
      <c r="E49">
        <v>75.2</v>
      </c>
      <c r="F49">
        <v>0.13</v>
      </c>
      <c r="H49" s="10" t="s">
        <v>84</v>
      </c>
      <c r="J49">
        <f>E49-D48</f>
        <v>13.700000000000003</v>
      </c>
    </row>
    <row r="50" spans="1:12" x14ac:dyDescent="0.2">
      <c r="A50" s="9">
        <v>150</v>
      </c>
      <c r="B50" s="1">
        <v>45352</v>
      </c>
      <c r="C50" t="s">
        <v>7</v>
      </c>
      <c r="D50">
        <v>70.400000000000006</v>
      </c>
      <c r="E50">
        <v>62.8</v>
      </c>
      <c r="F50">
        <v>0.15</v>
      </c>
      <c r="G50" t="s">
        <v>37</v>
      </c>
      <c r="H50" s="10"/>
    </row>
    <row r="51" spans="1:12" ht="17" thickBot="1" x14ac:dyDescent="0.25">
      <c r="A51" s="9">
        <v>151</v>
      </c>
      <c r="B51" s="1">
        <v>45352</v>
      </c>
      <c r="C51" t="s">
        <v>5</v>
      </c>
      <c r="E51">
        <v>76.3</v>
      </c>
      <c r="F51">
        <v>0.1</v>
      </c>
      <c r="H51" s="10" t="s">
        <v>83</v>
      </c>
      <c r="J51">
        <f>E51-D50</f>
        <v>5.8999999999999915</v>
      </c>
      <c r="L51" t="s">
        <v>103</v>
      </c>
    </row>
    <row r="52" spans="1:12" x14ac:dyDescent="0.2">
      <c r="A52" s="5">
        <v>157</v>
      </c>
      <c r="B52" s="6">
        <v>45392</v>
      </c>
      <c r="C52" s="7" t="s">
        <v>7</v>
      </c>
      <c r="D52" s="7">
        <v>52.2</v>
      </c>
      <c r="E52" s="7">
        <v>46.6</v>
      </c>
      <c r="F52" s="7">
        <v>0.18</v>
      </c>
      <c r="G52" s="7" t="s">
        <v>18</v>
      </c>
      <c r="H52" s="8"/>
      <c r="L52" s="25" t="s">
        <v>82</v>
      </c>
    </row>
    <row r="53" spans="1:12" x14ac:dyDescent="0.2">
      <c r="A53" s="9">
        <v>158</v>
      </c>
      <c r="B53" s="1">
        <v>45392</v>
      </c>
      <c r="C53" t="s">
        <v>21</v>
      </c>
      <c r="E53">
        <v>78.2</v>
      </c>
      <c r="F53">
        <v>7.0000000000000007E-2</v>
      </c>
      <c r="H53" s="10" t="s">
        <v>102</v>
      </c>
      <c r="J53">
        <f>E53-D52</f>
        <v>26</v>
      </c>
    </row>
    <row r="54" spans="1:12" x14ac:dyDescent="0.2">
      <c r="A54" s="9">
        <v>164</v>
      </c>
      <c r="B54" s="1">
        <v>45392</v>
      </c>
      <c r="C54" t="s">
        <v>7</v>
      </c>
      <c r="D54">
        <v>75.3</v>
      </c>
      <c r="E54">
        <v>67.2</v>
      </c>
      <c r="F54">
        <v>0.15</v>
      </c>
      <c r="H54" s="10"/>
    </row>
    <row r="55" spans="1:12" x14ac:dyDescent="0.2">
      <c r="A55" s="9">
        <v>165</v>
      </c>
      <c r="B55" s="1">
        <v>45392</v>
      </c>
      <c r="C55" t="s">
        <v>5</v>
      </c>
      <c r="E55">
        <v>76.099999999999994</v>
      </c>
      <c r="F55">
        <v>0.15</v>
      </c>
      <c r="H55" s="10" t="s">
        <v>95</v>
      </c>
      <c r="J55">
        <f>E55-D54</f>
        <v>0.79999999999999716</v>
      </c>
    </row>
    <row r="56" spans="1:12" x14ac:dyDescent="0.2">
      <c r="A56" s="9">
        <v>177</v>
      </c>
      <c r="B56" s="1">
        <v>45483</v>
      </c>
      <c r="C56" t="s">
        <v>7</v>
      </c>
      <c r="D56">
        <v>58.8</v>
      </c>
      <c r="E56">
        <v>52.5</v>
      </c>
      <c r="F56">
        <v>0.18</v>
      </c>
      <c r="H56" s="10"/>
    </row>
    <row r="57" spans="1:12" x14ac:dyDescent="0.2">
      <c r="A57" s="9">
        <v>179</v>
      </c>
      <c r="B57" s="1">
        <v>45483</v>
      </c>
      <c r="C57" t="s">
        <v>5</v>
      </c>
      <c r="E57">
        <v>76.900000000000006</v>
      </c>
      <c r="F57">
        <v>0.14000000000000001</v>
      </c>
      <c r="H57" s="10" t="s">
        <v>105</v>
      </c>
      <c r="J57">
        <f t="shared" ref="J57" si="1">E57-D56</f>
        <v>18.100000000000009</v>
      </c>
    </row>
    <row r="58" spans="1:12" x14ac:dyDescent="0.2">
      <c r="A58" s="9">
        <v>178</v>
      </c>
      <c r="B58" s="1">
        <v>45483</v>
      </c>
      <c r="C58" t="s">
        <v>7</v>
      </c>
      <c r="D58">
        <v>67.5</v>
      </c>
      <c r="E58">
        <v>60.3</v>
      </c>
      <c r="F58">
        <v>0.17</v>
      </c>
      <c r="H58" s="10"/>
    </row>
    <row r="59" spans="1:12" x14ac:dyDescent="0.2">
      <c r="A59" s="9">
        <v>180</v>
      </c>
      <c r="B59" s="1">
        <v>45483</v>
      </c>
      <c r="C59" t="s">
        <v>5</v>
      </c>
      <c r="E59">
        <v>73.2</v>
      </c>
      <c r="F59">
        <v>0.08</v>
      </c>
      <c r="H59" s="10" t="s">
        <v>106</v>
      </c>
      <c r="J59">
        <f t="shared" ref="J59" si="2">E59-D58</f>
        <v>5.7000000000000028</v>
      </c>
    </row>
    <row r="60" spans="1:12" x14ac:dyDescent="0.2">
      <c r="A60" s="9">
        <v>185</v>
      </c>
      <c r="B60" s="1">
        <v>45483</v>
      </c>
      <c r="C60" t="s">
        <v>7</v>
      </c>
      <c r="D60">
        <v>73.099999999999994</v>
      </c>
      <c r="E60">
        <v>65.3</v>
      </c>
      <c r="F60">
        <v>0.5</v>
      </c>
      <c r="G60" t="s">
        <v>37</v>
      </c>
      <c r="H60" s="10" t="s">
        <v>108</v>
      </c>
    </row>
    <row r="61" spans="1:12" x14ac:dyDescent="0.2">
      <c r="A61" s="9">
        <v>186</v>
      </c>
      <c r="B61" s="1">
        <v>45483</v>
      </c>
      <c r="C61" t="s">
        <v>5</v>
      </c>
      <c r="E61">
        <v>79.099999999999994</v>
      </c>
      <c r="H61" s="10" t="s">
        <v>109</v>
      </c>
      <c r="J61">
        <f t="shared" ref="J61" si="3">E61-D60</f>
        <v>6</v>
      </c>
    </row>
    <row r="62" spans="1:12" x14ac:dyDescent="0.2">
      <c r="A62" s="9">
        <v>188</v>
      </c>
      <c r="B62" s="1">
        <v>45483</v>
      </c>
      <c r="C62" t="s">
        <v>7</v>
      </c>
      <c r="D62">
        <v>75.5</v>
      </c>
      <c r="E62">
        <v>67.400000000000006</v>
      </c>
      <c r="F62">
        <v>0.14000000000000001</v>
      </c>
      <c r="H62" s="10"/>
    </row>
    <row r="63" spans="1:12" x14ac:dyDescent="0.2">
      <c r="A63" s="9">
        <v>189</v>
      </c>
      <c r="B63" s="1">
        <v>45483</v>
      </c>
      <c r="C63" t="s">
        <v>5</v>
      </c>
      <c r="E63">
        <v>78.7</v>
      </c>
      <c r="F63">
        <v>0.1</v>
      </c>
      <c r="H63" s="10" t="s">
        <v>111</v>
      </c>
      <c r="J63">
        <f t="shared" ref="J63" si="4">E63-D62</f>
        <v>3.2000000000000028</v>
      </c>
    </row>
    <row r="64" spans="1:12" x14ac:dyDescent="0.2">
      <c r="A64" s="9">
        <v>191</v>
      </c>
      <c r="B64" s="1">
        <v>45483</v>
      </c>
      <c r="C64" t="s">
        <v>7</v>
      </c>
      <c r="D64">
        <v>64.3</v>
      </c>
      <c r="E64">
        <v>57.4</v>
      </c>
      <c r="F64">
        <v>0.19</v>
      </c>
      <c r="G64" t="s">
        <v>37</v>
      </c>
      <c r="H64" s="10"/>
    </row>
    <row r="65" spans="1:10" x14ac:dyDescent="0.2">
      <c r="A65" s="9">
        <v>192</v>
      </c>
      <c r="B65" s="1">
        <v>45483</v>
      </c>
      <c r="C65" t="s">
        <v>5</v>
      </c>
      <c r="E65">
        <v>80.099999999999994</v>
      </c>
      <c r="H65" s="10" t="s">
        <v>112</v>
      </c>
      <c r="J65">
        <f t="shared" ref="J65" si="5">E65-D64</f>
        <v>15.799999999999997</v>
      </c>
    </row>
    <row r="66" spans="1:10" x14ac:dyDescent="0.2">
      <c r="A66" s="9">
        <v>204</v>
      </c>
      <c r="B66" s="1">
        <v>45518</v>
      </c>
      <c r="C66" t="s">
        <v>7</v>
      </c>
      <c r="D66">
        <v>69.400000000000006</v>
      </c>
      <c r="E66">
        <v>62</v>
      </c>
      <c r="F66">
        <v>0.2</v>
      </c>
      <c r="H66" s="10"/>
    </row>
    <row r="67" spans="1:10" ht="17" thickBot="1" x14ac:dyDescent="0.25">
      <c r="A67" s="11">
        <v>205</v>
      </c>
      <c r="B67" s="12">
        <v>45518</v>
      </c>
      <c r="C67" s="13" t="s">
        <v>5</v>
      </c>
      <c r="D67" s="13"/>
      <c r="E67" s="13">
        <v>78.7</v>
      </c>
      <c r="F67" s="13">
        <v>0.15</v>
      </c>
      <c r="G67" s="13"/>
      <c r="H67" s="14" t="s">
        <v>116</v>
      </c>
      <c r="J67">
        <f t="shared" ref="J67:J129" si="6">E67-D66</f>
        <v>9.2999999999999972</v>
      </c>
    </row>
    <row r="68" spans="1:10" x14ac:dyDescent="0.2">
      <c r="A68" s="9">
        <v>220</v>
      </c>
      <c r="B68" s="1">
        <v>45553</v>
      </c>
      <c r="C68" t="s">
        <v>7</v>
      </c>
      <c r="D68">
        <v>78</v>
      </c>
      <c r="E68">
        <v>69.599999999999994</v>
      </c>
      <c r="F68">
        <v>0.45</v>
      </c>
      <c r="H68" s="10"/>
    </row>
    <row r="69" spans="1:10" x14ac:dyDescent="0.2">
      <c r="A69" s="9">
        <v>221</v>
      </c>
      <c r="B69" s="1">
        <v>45553</v>
      </c>
      <c r="C69" t="s">
        <v>5</v>
      </c>
      <c r="E69">
        <v>83.2</v>
      </c>
      <c r="F69">
        <v>0.34</v>
      </c>
      <c r="H69" s="10" t="s">
        <v>123</v>
      </c>
      <c r="J69">
        <f t="shared" si="6"/>
        <v>5.2000000000000028</v>
      </c>
    </row>
    <row r="70" spans="1:10" x14ac:dyDescent="0.2">
      <c r="A70" s="9">
        <v>223</v>
      </c>
      <c r="B70" s="1">
        <v>45553</v>
      </c>
      <c r="C70" t="s">
        <v>7</v>
      </c>
      <c r="D70">
        <v>66.3</v>
      </c>
      <c r="E70">
        <v>59.2</v>
      </c>
      <c r="F70">
        <v>0.14000000000000001</v>
      </c>
      <c r="G70" t="s">
        <v>37</v>
      </c>
      <c r="H70" s="10"/>
    </row>
    <row r="71" spans="1:10" x14ac:dyDescent="0.2">
      <c r="A71" s="9">
        <v>224</v>
      </c>
      <c r="B71" s="1">
        <v>45553</v>
      </c>
      <c r="C71" t="s">
        <v>5</v>
      </c>
      <c r="E71">
        <v>80.2</v>
      </c>
      <c r="F71">
        <v>0.1</v>
      </c>
      <c r="H71" s="10" t="s">
        <v>124</v>
      </c>
      <c r="J71">
        <f t="shared" si="6"/>
        <v>13.900000000000006</v>
      </c>
    </row>
    <row r="72" spans="1:10" x14ac:dyDescent="0.2">
      <c r="A72" s="9">
        <v>252</v>
      </c>
      <c r="B72" s="1">
        <v>45581</v>
      </c>
      <c r="C72" t="s">
        <v>7</v>
      </c>
      <c r="D72">
        <v>63.5</v>
      </c>
      <c r="E72">
        <v>56.7</v>
      </c>
      <c r="F72">
        <v>0.15</v>
      </c>
      <c r="H72" s="10"/>
    </row>
    <row r="73" spans="1:10" x14ac:dyDescent="0.2">
      <c r="A73" s="9">
        <v>253</v>
      </c>
      <c r="B73" s="1">
        <v>45581</v>
      </c>
      <c r="C73" t="s">
        <v>21</v>
      </c>
      <c r="E73">
        <v>75.7</v>
      </c>
      <c r="F73">
        <v>0.1</v>
      </c>
      <c r="H73" s="10" t="s">
        <v>165</v>
      </c>
      <c r="J73">
        <f t="shared" si="6"/>
        <v>12.200000000000003</v>
      </c>
    </row>
    <row r="74" spans="1:10" x14ac:dyDescent="0.2">
      <c r="A74" s="9">
        <v>255</v>
      </c>
      <c r="B74" s="1">
        <v>45581</v>
      </c>
      <c r="C74" t="s">
        <v>7</v>
      </c>
      <c r="D74">
        <v>55.1</v>
      </c>
      <c r="E74">
        <v>49.2</v>
      </c>
      <c r="F74">
        <v>0.15</v>
      </c>
      <c r="H74" s="10"/>
    </row>
    <row r="75" spans="1:10" x14ac:dyDescent="0.2">
      <c r="A75" s="9">
        <v>256</v>
      </c>
      <c r="B75" s="1">
        <v>45581</v>
      </c>
      <c r="C75" t="s">
        <v>21</v>
      </c>
      <c r="E75">
        <v>69</v>
      </c>
      <c r="H75" s="10" t="s">
        <v>166</v>
      </c>
      <c r="J75">
        <f t="shared" si="6"/>
        <v>13.899999999999999</v>
      </c>
    </row>
    <row r="76" spans="1:10" x14ac:dyDescent="0.2">
      <c r="A76" s="9">
        <v>257</v>
      </c>
      <c r="B76" s="1">
        <v>45581</v>
      </c>
      <c r="C76" t="s">
        <v>7</v>
      </c>
      <c r="D76">
        <v>49.6</v>
      </c>
      <c r="E76">
        <v>44.3</v>
      </c>
      <c r="F76">
        <v>0.34</v>
      </c>
      <c r="H76" s="10"/>
    </row>
    <row r="77" spans="1:10" x14ac:dyDescent="0.2">
      <c r="A77" s="9">
        <v>258</v>
      </c>
      <c r="B77" s="1">
        <v>45581</v>
      </c>
      <c r="C77" t="s">
        <v>21</v>
      </c>
      <c r="E77">
        <v>73.5</v>
      </c>
      <c r="F77">
        <v>0.27</v>
      </c>
      <c r="H77" s="10" t="s">
        <v>167</v>
      </c>
      <c r="J77">
        <f t="shared" si="6"/>
        <v>23.9</v>
      </c>
    </row>
    <row r="78" spans="1:10" x14ac:dyDescent="0.2">
      <c r="A78" s="9">
        <v>266</v>
      </c>
      <c r="B78" s="1">
        <v>45595</v>
      </c>
      <c r="C78" t="s">
        <v>7</v>
      </c>
      <c r="D78">
        <v>83</v>
      </c>
      <c r="E78">
        <v>74.099999999999994</v>
      </c>
      <c r="F78">
        <v>0.2</v>
      </c>
      <c r="H78" s="10"/>
    </row>
    <row r="79" spans="1:10" x14ac:dyDescent="0.2">
      <c r="A79" s="9">
        <v>267</v>
      </c>
      <c r="B79" s="1">
        <v>45595</v>
      </c>
      <c r="C79" t="s">
        <v>5</v>
      </c>
      <c r="E79">
        <v>84.9</v>
      </c>
      <c r="F79">
        <v>0.11</v>
      </c>
      <c r="H79" s="10" t="s">
        <v>171</v>
      </c>
      <c r="J79">
        <f t="shared" si="6"/>
        <v>1.9000000000000057</v>
      </c>
    </row>
    <row r="80" spans="1:10" x14ac:dyDescent="0.2">
      <c r="A80" s="9">
        <v>268</v>
      </c>
      <c r="B80" s="1">
        <v>45595</v>
      </c>
      <c r="C80" t="s">
        <v>7</v>
      </c>
      <c r="D80">
        <v>76.3</v>
      </c>
      <c r="E80">
        <v>68.099999999999994</v>
      </c>
      <c r="F80">
        <v>0.18</v>
      </c>
      <c r="H80" s="10"/>
    </row>
    <row r="81" spans="1:10" x14ac:dyDescent="0.2">
      <c r="A81" s="9">
        <v>269</v>
      </c>
      <c r="B81" s="1">
        <v>45595</v>
      </c>
      <c r="C81" t="s">
        <v>5</v>
      </c>
      <c r="E81">
        <v>84.3</v>
      </c>
      <c r="F81">
        <v>0.13</v>
      </c>
      <c r="H81" s="10" t="s">
        <v>173</v>
      </c>
      <c r="J81">
        <f t="shared" si="6"/>
        <v>8</v>
      </c>
    </row>
    <row r="82" spans="1:10" x14ac:dyDescent="0.2">
      <c r="A82" s="9">
        <v>275</v>
      </c>
      <c r="B82" s="1">
        <v>45595</v>
      </c>
      <c r="C82" t="s">
        <v>7</v>
      </c>
      <c r="D82">
        <v>63.4</v>
      </c>
      <c r="E82">
        <v>56.6</v>
      </c>
      <c r="F82">
        <v>0.17</v>
      </c>
      <c r="H82" s="10"/>
    </row>
    <row r="83" spans="1:10" ht="17" thickBot="1" x14ac:dyDescent="0.25">
      <c r="A83" s="11">
        <v>276</v>
      </c>
      <c r="B83" s="12">
        <v>45595</v>
      </c>
      <c r="C83" s="13" t="s">
        <v>5</v>
      </c>
      <c r="D83" s="13"/>
      <c r="E83" s="13">
        <v>83.6</v>
      </c>
      <c r="F83" s="13">
        <v>0.1</v>
      </c>
      <c r="G83" s="13"/>
      <c r="H83" s="14" t="s">
        <v>172</v>
      </c>
      <c r="J83">
        <f t="shared" si="6"/>
        <v>20.199999999999996</v>
      </c>
    </row>
    <row r="84" spans="1:10" x14ac:dyDescent="0.2">
      <c r="A84" s="5">
        <v>282</v>
      </c>
      <c r="B84" s="6">
        <v>45609</v>
      </c>
      <c r="C84" s="7" t="s">
        <v>7</v>
      </c>
      <c r="D84" s="7">
        <v>60.7</v>
      </c>
      <c r="E84" s="7">
        <v>54.2</v>
      </c>
      <c r="F84" s="7"/>
      <c r="G84" s="7"/>
      <c r="H84" s="8" t="s">
        <v>182</v>
      </c>
    </row>
    <row r="85" spans="1:10" x14ac:dyDescent="0.2">
      <c r="A85" s="9">
        <v>283</v>
      </c>
      <c r="B85" s="1">
        <v>45609</v>
      </c>
      <c r="C85" t="s">
        <v>5</v>
      </c>
      <c r="E85">
        <v>78.7</v>
      </c>
      <c r="H85" s="10" t="s">
        <v>183</v>
      </c>
      <c r="J85">
        <f t="shared" si="6"/>
        <v>18</v>
      </c>
    </row>
    <row r="86" spans="1:10" x14ac:dyDescent="0.2">
      <c r="A86" s="9">
        <v>286</v>
      </c>
      <c r="B86" s="1">
        <v>45609</v>
      </c>
      <c r="C86" t="s">
        <v>7</v>
      </c>
      <c r="D86">
        <v>67.8</v>
      </c>
      <c r="E86">
        <v>60.5</v>
      </c>
      <c r="F86">
        <v>0.14000000000000001</v>
      </c>
      <c r="H86" s="10"/>
    </row>
    <row r="87" spans="1:10" x14ac:dyDescent="0.2">
      <c r="A87" s="9">
        <v>287</v>
      </c>
      <c r="B87" s="1">
        <v>45609</v>
      </c>
      <c r="C87" t="s">
        <v>5</v>
      </c>
      <c r="E87">
        <v>79.7</v>
      </c>
      <c r="F87">
        <v>7.0000000000000007E-2</v>
      </c>
      <c r="H87" s="10" t="s">
        <v>186</v>
      </c>
      <c r="J87">
        <f t="shared" si="6"/>
        <v>11.900000000000006</v>
      </c>
    </row>
    <row r="88" spans="1:10" x14ac:dyDescent="0.2">
      <c r="A88" s="9">
        <v>290</v>
      </c>
      <c r="B88" s="1">
        <v>45609</v>
      </c>
      <c r="C88" t="s">
        <v>7</v>
      </c>
      <c r="D88">
        <v>60.6</v>
      </c>
      <c r="E88">
        <v>54.1</v>
      </c>
      <c r="F88">
        <v>0.14000000000000001</v>
      </c>
      <c r="H88" s="10"/>
    </row>
    <row r="89" spans="1:10" x14ac:dyDescent="0.2">
      <c r="A89" s="9">
        <v>291</v>
      </c>
      <c r="B89" s="1">
        <v>45609</v>
      </c>
      <c r="C89" t="s">
        <v>5</v>
      </c>
      <c r="E89">
        <v>74.400000000000006</v>
      </c>
      <c r="F89">
        <v>0.1</v>
      </c>
      <c r="H89" s="10" t="s">
        <v>190</v>
      </c>
      <c r="J89">
        <f t="shared" si="6"/>
        <v>13.800000000000004</v>
      </c>
    </row>
    <row r="90" spans="1:10" x14ac:dyDescent="0.2">
      <c r="A90" s="9">
        <v>293</v>
      </c>
      <c r="B90" s="1">
        <v>45609</v>
      </c>
      <c r="C90" t="s">
        <v>7</v>
      </c>
      <c r="D90">
        <v>65.900000000000006</v>
      </c>
      <c r="E90">
        <v>58.8</v>
      </c>
      <c r="F90">
        <v>0.16</v>
      </c>
      <c r="H90" s="10"/>
    </row>
    <row r="91" spans="1:10" x14ac:dyDescent="0.2">
      <c r="A91" s="9">
        <v>294</v>
      </c>
      <c r="B91" s="1">
        <v>45609</v>
      </c>
      <c r="C91" t="s">
        <v>5</v>
      </c>
      <c r="E91">
        <v>79.099999999999994</v>
      </c>
      <c r="F91">
        <v>0.1</v>
      </c>
      <c r="H91" s="10" t="s">
        <v>187</v>
      </c>
      <c r="J91">
        <f t="shared" si="6"/>
        <v>13.199999999999989</v>
      </c>
    </row>
    <row r="92" spans="1:10" x14ac:dyDescent="0.2">
      <c r="A92" s="9">
        <v>297</v>
      </c>
      <c r="B92" s="1">
        <v>45609</v>
      </c>
      <c r="C92" t="s">
        <v>7</v>
      </c>
      <c r="D92">
        <v>50.5</v>
      </c>
      <c r="E92">
        <v>45.1</v>
      </c>
      <c r="F92">
        <v>0.12</v>
      </c>
      <c r="G92" t="s">
        <v>37</v>
      </c>
      <c r="H92" s="10"/>
    </row>
    <row r="93" spans="1:10" ht="17" thickBot="1" x14ac:dyDescent="0.25">
      <c r="A93" s="11">
        <v>298</v>
      </c>
      <c r="B93" s="12">
        <v>45609</v>
      </c>
      <c r="C93" s="13" t="s">
        <v>5</v>
      </c>
      <c r="D93" s="13"/>
      <c r="E93" s="13">
        <v>74.400000000000006</v>
      </c>
      <c r="F93" s="13"/>
      <c r="G93" s="13"/>
      <c r="H93" s="14" t="s">
        <v>188</v>
      </c>
      <c r="J93">
        <f t="shared" si="6"/>
        <v>23.900000000000006</v>
      </c>
    </row>
    <row r="94" spans="1:10" x14ac:dyDescent="0.2">
      <c r="A94" s="5">
        <v>303</v>
      </c>
      <c r="B94" s="6">
        <v>45623</v>
      </c>
      <c r="C94" s="7" t="s">
        <v>7</v>
      </c>
      <c r="D94" s="7">
        <v>62.7</v>
      </c>
      <c r="E94" s="7"/>
      <c r="F94" s="7">
        <v>0.16</v>
      </c>
      <c r="G94" s="7"/>
      <c r="H94" s="8"/>
    </row>
    <row r="95" spans="1:10" x14ac:dyDescent="0.2">
      <c r="A95" s="9">
        <v>304</v>
      </c>
      <c r="B95" s="1">
        <v>45623</v>
      </c>
      <c r="C95" t="s">
        <v>5</v>
      </c>
      <c r="E95">
        <v>81.3</v>
      </c>
      <c r="H95" s="10" t="s">
        <v>210</v>
      </c>
      <c r="J95">
        <f t="shared" si="6"/>
        <v>18.599999999999994</v>
      </c>
    </row>
    <row r="96" spans="1:10" x14ac:dyDescent="0.2">
      <c r="A96" s="9">
        <v>313</v>
      </c>
      <c r="B96" s="1">
        <v>45623</v>
      </c>
      <c r="C96" t="s">
        <v>7</v>
      </c>
      <c r="D96">
        <v>68.5</v>
      </c>
      <c r="F96">
        <v>0.18</v>
      </c>
      <c r="G96" t="s">
        <v>37</v>
      </c>
      <c r="H96" s="10"/>
    </row>
    <row r="97" spans="1:10" x14ac:dyDescent="0.2">
      <c r="A97" s="9">
        <v>314</v>
      </c>
      <c r="B97" s="1">
        <v>45623</v>
      </c>
      <c r="C97" t="s">
        <v>5</v>
      </c>
      <c r="E97">
        <v>84.1</v>
      </c>
      <c r="F97">
        <v>0.16</v>
      </c>
      <c r="H97" s="10" t="s">
        <v>217</v>
      </c>
      <c r="J97">
        <f t="shared" si="6"/>
        <v>15.599999999999994</v>
      </c>
    </row>
    <row r="98" spans="1:10" x14ac:dyDescent="0.2">
      <c r="A98" s="9">
        <v>315</v>
      </c>
      <c r="B98" s="1">
        <v>45623</v>
      </c>
      <c r="C98" t="s">
        <v>7</v>
      </c>
      <c r="D98">
        <v>26.3</v>
      </c>
      <c r="F98">
        <v>0.14000000000000001</v>
      </c>
      <c r="G98" t="s">
        <v>37</v>
      </c>
      <c r="H98" s="10"/>
    </row>
    <row r="99" spans="1:10" ht="17" thickBot="1" x14ac:dyDescent="0.25">
      <c r="A99" s="11">
        <v>316</v>
      </c>
      <c r="B99" s="12">
        <v>45623</v>
      </c>
      <c r="C99" s="13" t="s">
        <v>5</v>
      </c>
      <c r="D99" s="13"/>
      <c r="E99" s="13">
        <v>72.400000000000006</v>
      </c>
      <c r="F99" s="13"/>
      <c r="G99" s="13"/>
      <c r="H99" s="14" t="s">
        <v>218</v>
      </c>
      <c r="J99">
        <f t="shared" si="6"/>
        <v>46.100000000000009</v>
      </c>
    </row>
    <row r="100" spans="1:10" x14ac:dyDescent="0.2">
      <c r="A100" s="5">
        <v>334</v>
      </c>
      <c r="B100" s="6">
        <v>45637</v>
      </c>
      <c r="C100" s="7" t="s">
        <v>7</v>
      </c>
      <c r="D100" s="7">
        <v>74.3</v>
      </c>
      <c r="E100" s="7"/>
      <c r="F100" s="7">
        <v>0.14000000000000001</v>
      </c>
      <c r="G100" s="7"/>
      <c r="H100" s="8"/>
    </row>
    <row r="101" spans="1:10" ht="17" thickBot="1" x14ac:dyDescent="0.25">
      <c r="A101" s="11">
        <v>335</v>
      </c>
      <c r="B101" s="12">
        <v>45637</v>
      </c>
      <c r="C101" s="13" t="s">
        <v>21</v>
      </c>
      <c r="D101" s="13"/>
      <c r="E101" s="13">
        <v>80.2</v>
      </c>
      <c r="F101" s="13">
        <v>0.1</v>
      </c>
      <c r="G101" s="13"/>
      <c r="H101" s="14" t="s">
        <v>227</v>
      </c>
      <c r="J101">
        <f t="shared" si="6"/>
        <v>5.9000000000000057</v>
      </c>
    </row>
    <row r="102" spans="1:10" x14ac:dyDescent="0.2">
      <c r="A102" s="5">
        <v>349</v>
      </c>
      <c r="B102" s="6">
        <v>45644</v>
      </c>
      <c r="C102" s="7" t="s">
        <v>7</v>
      </c>
      <c r="D102" s="7">
        <v>88</v>
      </c>
      <c r="E102" s="7"/>
      <c r="F102" s="7">
        <v>0.23</v>
      </c>
      <c r="G102" s="7"/>
      <c r="H102" s="8"/>
    </row>
    <row r="103" spans="1:10" ht="17" thickBot="1" x14ac:dyDescent="0.25">
      <c r="A103" s="11">
        <v>350</v>
      </c>
      <c r="B103" s="12">
        <v>45644</v>
      </c>
      <c r="C103" s="13" t="s">
        <v>21</v>
      </c>
      <c r="D103" s="13"/>
      <c r="E103" s="13">
        <v>77.599999999999994</v>
      </c>
      <c r="F103" s="13">
        <v>0.22</v>
      </c>
      <c r="G103" s="13"/>
      <c r="H103" s="14" t="s">
        <v>235</v>
      </c>
      <c r="J103">
        <f t="shared" si="6"/>
        <v>-10.400000000000006</v>
      </c>
    </row>
    <row r="104" spans="1:10" x14ac:dyDescent="0.2">
      <c r="A104" s="5">
        <v>363</v>
      </c>
      <c r="B104" s="6">
        <v>45665</v>
      </c>
      <c r="C104" s="7" t="s">
        <v>7</v>
      </c>
      <c r="D104" s="7">
        <v>91.9</v>
      </c>
      <c r="E104" s="7"/>
      <c r="F104" s="7">
        <v>0.28999999999999998</v>
      </c>
      <c r="G104" s="7"/>
      <c r="H104" s="8"/>
    </row>
    <row r="105" spans="1:10" x14ac:dyDescent="0.2">
      <c r="A105" s="9">
        <v>364</v>
      </c>
      <c r="B105" s="1">
        <v>45665</v>
      </c>
      <c r="C105" t="s">
        <v>5</v>
      </c>
      <c r="E105">
        <v>80.2</v>
      </c>
      <c r="F105">
        <v>0.26</v>
      </c>
      <c r="H105" s="10" t="s">
        <v>244</v>
      </c>
      <c r="J105">
        <f t="shared" si="6"/>
        <v>-11.700000000000003</v>
      </c>
    </row>
    <row r="106" spans="1:10" x14ac:dyDescent="0.2">
      <c r="A106" s="9">
        <v>365</v>
      </c>
      <c r="B106" s="1">
        <v>45665</v>
      </c>
      <c r="C106" t="s">
        <v>7</v>
      </c>
      <c r="D106">
        <v>62.1</v>
      </c>
      <c r="F106">
        <v>0.16</v>
      </c>
      <c r="H106" s="10"/>
    </row>
    <row r="107" spans="1:10" x14ac:dyDescent="0.2">
      <c r="A107" s="9">
        <v>366</v>
      </c>
      <c r="B107" s="1">
        <v>45665</v>
      </c>
      <c r="C107" t="s">
        <v>5</v>
      </c>
      <c r="E107">
        <v>78.599999999999994</v>
      </c>
      <c r="F107">
        <v>0.12</v>
      </c>
      <c r="H107" s="10" t="s">
        <v>245</v>
      </c>
      <c r="J107">
        <f t="shared" si="6"/>
        <v>16.499999999999993</v>
      </c>
    </row>
    <row r="108" spans="1:10" x14ac:dyDescent="0.2">
      <c r="A108" s="9">
        <v>370</v>
      </c>
      <c r="B108" s="1">
        <v>45665</v>
      </c>
      <c r="C108" t="s">
        <v>7</v>
      </c>
      <c r="D108">
        <v>66.900000000000006</v>
      </c>
      <c r="F108">
        <v>0.13</v>
      </c>
      <c r="H108" s="10"/>
    </row>
    <row r="109" spans="1:10" x14ac:dyDescent="0.2">
      <c r="A109" s="9">
        <v>371</v>
      </c>
      <c r="B109" s="1">
        <v>45665</v>
      </c>
      <c r="C109" t="s">
        <v>5</v>
      </c>
      <c r="E109">
        <v>73.3</v>
      </c>
      <c r="F109">
        <v>0.12</v>
      </c>
      <c r="H109" s="10" t="s">
        <v>250</v>
      </c>
      <c r="J109">
        <f t="shared" si="6"/>
        <v>6.3999999999999915</v>
      </c>
    </row>
    <row r="110" spans="1:10" x14ac:dyDescent="0.2">
      <c r="A110" s="9">
        <v>372</v>
      </c>
      <c r="B110" s="1">
        <v>45665</v>
      </c>
      <c r="C110" t="s">
        <v>7</v>
      </c>
      <c r="D110">
        <v>66.599999999999994</v>
      </c>
      <c r="F110">
        <v>0.2</v>
      </c>
      <c r="H110" s="10"/>
    </row>
    <row r="111" spans="1:10" ht="17" thickBot="1" x14ac:dyDescent="0.25">
      <c r="A111" s="11">
        <v>373</v>
      </c>
      <c r="B111" s="12">
        <v>45665</v>
      </c>
      <c r="C111" s="13" t="s">
        <v>5</v>
      </c>
      <c r="D111" s="13"/>
      <c r="E111" s="13">
        <v>75.3</v>
      </c>
      <c r="F111" s="13">
        <v>0.08</v>
      </c>
      <c r="G111" s="13"/>
      <c r="H111" s="14" t="s">
        <v>252</v>
      </c>
      <c r="J111">
        <f t="shared" si="6"/>
        <v>8.7000000000000028</v>
      </c>
    </row>
    <row r="112" spans="1:10" x14ac:dyDescent="0.2">
      <c r="A112" s="5">
        <v>381</v>
      </c>
      <c r="B112" s="6">
        <v>45679</v>
      </c>
      <c r="C112" s="7" t="s">
        <v>7</v>
      </c>
      <c r="D112" s="7">
        <v>82.2</v>
      </c>
      <c r="E112" s="7"/>
      <c r="F112" s="7">
        <v>0.15</v>
      </c>
      <c r="G112" s="7"/>
      <c r="H112" s="8"/>
    </row>
    <row r="113" spans="1:10" ht="17" thickBot="1" x14ac:dyDescent="0.25">
      <c r="A113" s="11">
        <v>383</v>
      </c>
      <c r="B113" s="12">
        <v>45679</v>
      </c>
      <c r="C113" s="13" t="s">
        <v>5</v>
      </c>
      <c r="D113" s="13"/>
      <c r="E113" s="13">
        <v>85.3</v>
      </c>
      <c r="F113" s="13">
        <v>0.12</v>
      </c>
      <c r="G113" s="13"/>
      <c r="H113" s="14" t="s">
        <v>261</v>
      </c>
      <c r="J113">
        <f t="shared" si="6"/>
        <v>3.0999999999999943</v>
      </c>
    </row>
    <row r="114" spans="1:10" x14ac:dyDescent="0.2">
      <c r="A114" s="5">
        <v>396</v>
      </c>
      <c r="B114" s="6">
        <v>45693</v>
      </c>
      <c r="C114" s="7" t="s">
        <v>7</v>
      </c>
      <c r="D114" s="7">
        <v>69.8</v>
      </c>
      <c r="E114" s="7"/>
      <c r="F114" s="7">
        <v>0.14000000000000001</v>
      </c>
      <c r="G114" s="7"/>
      <c r="H114" s="8"/>
    </row>
    <row r="115" spans="1:10" x14ac:dyDescent="0.2">
      <c r="A115" s="9">
        <v>398</v>
      </c>
      <c r="B115" s="1">
        <v>45693</v>
      </c>
      <c r="C115" t="s">
        <v>5</v>
      </c>
      <c r="E115">
        <v>48.6</v>
      </c>
      <c r="F115">
        <v>0.1</v>
      </c>
      <c r="H115" s="10" t="s">
        <v>281</v>
      </c>
      <c r="J115">
        <f t="shared" si="6"/>
        <v>-21.199999999999996</v>
      </c>
    </row>
    <row r="116" spans="1:10" x14ac:dyDescent="0.2">
      <c r="A116" s="9">
        <v>399</v>
      </c>
      <c r="B116" s="1">
        <v>45693</v>
      </c>
      <c r="C116" t="s">
        <v>7</v>
      </c>
      <c r="D116">
        <v>39.700000000000003</v>
      </c>
      <c r="F116">
        <v>0.47</v>
      </c>
      <c r="H116" s="10"/>
    </row>
    <row r="117" spans="1:10" ht="17" thickBot="1" x14ac:dyDescent="0.25">
      <c r="A117" s="11">
        <v>400</v>
      </c>
      <c r="B117" s="12">
        <v>45693</v>
      </c>
      <c r="C117" s="13" t="s">
        <v>5</v>
      </c>
      <c r="D117" s="13"/>
      <c r="E117" s="13">
        <v>75.099999999999994</v>
      </c>
      <c r="F117" s="13">
        <v>0.4</v>
      </c>
      <c r="G117" s="13"/>
      <c r="H117" s="14" t="s">
        <v>284</v>
      </c>
      <c r="J117">
        <f t="shared" si="6"/>
        <v>35.399999999999991</v>
      </c>
    </row>
    <row r="118" spans="1:10" x14ac:dyDescent="0.2">
      <c r="A118" s="5">
        <v>408</v>
      </c>
      <c r="B118" s="6">
        <v>45721</v>
      </c>
      <c r="C118" s="7" t="s">
        <v>7</v>
      </c>
      <c r="D118" s="7">
        <v>72.5</v>
      </c>
      <c r="E118" s="42"/>
      <c r="F118" s="7">
        <v>0.18</v>
      </c>
      <c r="G118" s="7"/>
      <c r="H118" s="8"/>
    </row>
    <row r="119" spans="1:10" x14ac:dyDescent="0.2">
      <c r="A119" s="9">
        <v>409</v>
      </c>
      <c r="B119" s="1">
        <v>45721</v>
      </c>
      <c r="C119" t="s">
        <v>5</v>
      </c>
      <c r="E119" s="20">
        <v>72.3</v>
      </c>
      <c r="H119" s="10" t="s">
        <v>305</v>
      </c>
      <c r="J119">
        <f t="shared" si="6"/>
        <v>-0.20000000000000284</v>
      </c>
    </row>
    <row r="120" spans="1:10" x14ac:dyDescent="0.2">
      <c r="A120" s="9">
        <v>410</v>
      </c>
      <c r="B120" s="1">
        <v>45721</v>
      </c>
      <c r="C120" t="s">
        <v>7</v>
      </c>
      <c r="D120">
        <v>69.400000000000006</v>
      </c>
      <c r="E120" s="20"/>
      <c r="F120">
        <v>0.3</v>
      </c>
      <c r="H120" s="10"/>
    </row>
    <row r="121" spans="1:10" x14ac:dyDescent="0.2">
      <c r="A121" s="9">
        <v>411</v>
      </c>
      <c r="B121" s="1">
        <v>45721</v>
      </c>
      <c r="C121" t="s">
        <v>5</v>
      </c>
      <c r="E121" s="20">
        <v>78.5</v>
      </c>
      <c r="F121">
        <v>0.21</v>
      </c>
      <c r="H121" s="10" t="s">
        <v>299</v>
      </c>
      <c r="J121">
        <f t="shared" si="6"/>
        <v>9.0999999999999943</v>
      </c>
    </row>
    <row r="122" spans="1:10" x14ac:dyDescent="0.2">
      <c r="A122" s="9">
        <v>412</v>
      </c>
      <c r="B122" s="1">
        <v>45721</v>
      </c>
      <c r="C122" t="s">
        <v>7</v>
      </c>
      <c r="D122">
        <v>78.3</v>
      </c>
      <c r="F122">
        <v>0.13</v>
      </c>
      <c r="H122" s="10"/>
    </row>
    <row r="123" spans="1:10" ht="17" thickBot="1" x14ac:dyDescent="0.25">
      <c r="A123" s="11">
        <v>413</v>
      </c>
      <c r="B123" s="12">
        <v>45721</v>
      </c>
      <c r="C123" s="13" t="s">
        <v>5</v>
      </c>
      <c r="D123" s="13"/>
      <c r="E123" s="13">
        <v>82.1</v>
      </c>
      <c r="F123" s="13">
        <v>0.1</v>
      </c>
      <c r="G123" s="13"/>
      <c r="H123" s="14" t="s">
        <v>301</v>
      </c>
      <c r="J123">
        <f t="shared" si="6"/>
        <v>3.7999999999999972</v>
      </c>
    </row>
    <row r="124" spans="1:10" x14ac:dyDescent="0.2">
      <c r="A124" s="5">
        <v>418</v>
      </c>
      <c r="B124" s="6">
        <v>45735</v>
      </c>
      <c r="C124" s="7" t="s">
        <v>7</v>
      </c>
      <c r="D124" s="7">
        <v>52.5</v>
      </c>
      <c r="E124" s="7"/>
      <c r="F124" s="7">
        <v>0.13</v>
      </c>
      <c r="G124" s="7" t="s">
        <v>37</v>
      </c>
      <c r="H124" s="8"/>
    </row>
    <row r="125" spans="1:10" x14ac:dyDescent="0.2">
      <c r="A125" s="9">
        <v>419</v>
      </c>
      <c r="B125" s="1">
        <v>45735</v>
      </c>
      <c r="C125" t="s">
        <v>21</v>
      </c>
      <c r="E125">
        <v>83</v>
      </c>
      <c r="F125">
        <v>0.08</v>
      </c>
      <c r="H125" s="10" t="s">
        <v>309</v>
      </c>
      <c r="J125">
        <f t="shared" si="6"/>
        <v>30.5</v>
      </c>
    </row>
    <row r="126" spans="1:10" x14ac:dyDescent="0.2">
      <c r="A126" s="9">
        <v>420</v>
      </c>
      <c r="B126" s="1">
        <v>45735</v>
      </c>
      <c r="C126" t="s">
        <v>7</v>
      </c>
      <c r="D126">
        <v>63.5</v>
      </c>
      <c r="F126">
        <v>0.15</v>
      </c>
      <c r="H126" s="10"/>
    </row>
    <row r="127" spans="1:10" x14ac:dyDescent="0.2">
      <c r="A127" s="9">
        <v>421</v>
      </c>
      <c r="B127" s="1">
        <v>45735</v>
      </c>
      <c r="C127" t="s">
        <v>21</v>
      </c>
      <c r="E127">
        <v>77.099999999999994</v>
      </c>
      <c r="F127">
        <v>0.09</v>
      </c>
      <c r="H127" s="10" t="s">
        <v>311</v>
      </c>
      <c r="J127">
        <f t="shared" si="6"/>
        <v>13.599999999999994</v>
      </c>
    </row>
    <row r="128" spans="1:10" x14ac:dyDescent="0.2">
      <c r="A128" s="9">
        <v>423</v>
      </c>
      <c r="B128" s="1">
        <v>45735</v>
      </c>
      <c r="C128" t="s">
        <v>7</v>
      </c>
      <c r="D128">
        <v>54.6</v>
      </c>
      <c r="F128">
        <v>0.24</v>
      </c>
      <c r="H128" s="10"/>
    </row>
    <row r="129" spans="1:10" x14ac:dyDescent="0.2">
      <c r="A129" s="9">
        <v>424</v>
      </c>
      <c r="B129" s="1">
        <v>45735</v>
      </c>
      <c r="C129" t="s">
        <v>21</v>
      </c>
      <c r="E129">
        <v>78.7</v>
      </c>
      <c r="F129">
        <v>0.13</v>
      </c>
      <c r="H129" s="10" t="s">
        <v>315</v>
      </c>
      <c r="J129">
        <f t="shared" si="6"/>
        <v>24.1</v>
      </c>
    </row>
    <row r="130" spans="1:10" x14ac:dyDescent="0.2">
      <c r="A130" s="9">
        <v>426</v>
      </c>
      <c r="B130" s="1">
        <v>45735</v>
      </c>
      <c r="C130" t="s">
        <v>7</v>
      </c>
      <c r="D130">
        <v>71.400000000000006</v>
      </c>
      <c r="F130">
        <v>0.21</v>
      </c>
      <c r="H130" s="10"/>
    </row>
    <row r="131" spans="1:10" x14ac:dyDescent="0.2">
      <c r="A131" s="9">
        <v>427</v>
      </c>
      <c r="B131" s="1">
        <v>45735</v>
      </c>
      <c r="C131" t="s">
        <v>21</v>
      </c>
      <c r="E131">
        <v>81.2</v>
      </c>
      <c r="F131">
        <v>0.16</v>
      </c>
      <c r="H131" s="10" t="s">
        <v>318</v>
      </c>
      <c r="J131">
        <f t="shared" ref="J131:J201" si="7">E131-D130</f>
        <v>9.7999999999999972</v>
      </c>
    </row>
    <row r="132" spans="1:10" x14ac:dyDescent="0.2">
      <c r="A132" s="9">
        <v>428</v>
      </c>
      <c r="B132" s="1">
        <v>45735</v>
      </c>
      <c r="C132" t="s">
        <v>7</v>
      </c>
      <c r="D132">
        <v>66.900000000000006</v>
      </c>
      <c r="F132">
        <v>0.2</v>
      </c>
      <c r="G132" t="s">
        <v>37</v>
      </c>
      <c r="H132" s="10"/>
    </row>
    <row r="133" spans="1:10" ht="17" thickBot="1" x14ac:dyDescent="0.25">
      <c r="A133" s="11">
        <v>429</v>
      </c>
      <c r="B133" s="12">
        <v>45735</v>
      </c>
      <c r="C133" s="13" t="s">
        <v>21</v>
      </c>
      <c r="D133" s="13"/>
      <c r="E133" s="13">
        <v>77.900000000000006</v>
      </c>
      <c r="F133" s="13">
        <v>0.23</v>
      </c>
      <c r="G133" s="13"/>
      <c r="H133" s="14" t="s">
        <v>319</v>
      </c>
      <c r="J133">
        <f t="shared" si="7"/>
        <v>11</v>
      </c>
    </row>
    <row r="134" spans="1:10" x14ac:dyDescent="0.2">
      <c r="A134" s="5">
        <v>432</v>
      </c>
      <c r="B134" s="6">
        <v>45749</v>
      </c>
      <c r="C134" s="7" t="s">
        <v>7</v>
      </c>
      <c r="D134" s="7">
        <v>90.4</v>
      </c>
      <c r="E134" s="7"/>
      <c r="F134" s="7">
        <v>0.18</v>
      </c>
      <c r="G134" s="7"/>
      <c r="H134" s="8"/>
    </row>
    <row r="135" spans="1:10" x14ac:dyDescent="0.2">
      <c r="A135" s="9">
        <v>433</v>
      </c>
      <c r="B135" s="1">
        <v>45749</v>
      </c>
      <c r="C135" t="s">
        <v>21</v>
      </c>
      <c r="E135">
        <v>78.400000000000006</v>
      </c>
      <c r="F135">
        <v>0.14000000000000001</v>
      </c>
      <c r="H135" s="10" t="s">
        <v>328</v>
      </c>
      <c r="J135">
        <f t="shared" si="7"/>
        <v>-12</v>
      </c>
    </row>
    <row r="136" spans="1:10" x14ac:dyDescent="0.2">
      <c r="A136" s="9">
        <v>434</v>
      </c>
      <c r="B136" s="1">
        <v>45749</v>
      </c>
      <c r="C136" t="s">
        <v>7</v>
      </c>
      <c r="D136">
        <v>71.7</v>
      </c>
      <c r="F136">
        <v>0.11</v>
      </c>
      <c r="H136" s="10"/>
    </row>
    <row r="137" spans="1:10" x14ac:dyDescent="0.2">
      <c r="A137" s="9">
        <v>435</v>
      </c>
      <c r="B137" s="1">
        <v>45749</v>
      </c>
      <c r="C137" t="s">
        <v>21</v>
      </c>
      <c r="E137">
        <v>64.3</v>
      </c>
      <c r="H137" s="10" t="s">
        <v>329</v>
      </c>
      <c r="J137">
        <f t="shared" si="7"/>
        <v>-7.4000000000000057</v>
      </c>
    </row>
    <row r="138" spans="1:10" x14ac:dyDescent="0.2">
      <c r="A138" s="9">
        <v>441</v>
      </c>
      <c r="B138" s="1">
        <v>45749</v>
      </c>
      <c r="C138" t="s">
        <v>7</v>
      </c>
      <c r="D138">
        <v>88.5</v>
      </c>
      <c r="F138">
        <v>0.35</v>
      </c>
      <c r="H138" s="10"/>
    </row>
    <row r="139" spans="1:10" ht="17" thickBot="1" x14ac:dyDescent="0.25">
      <c r="A139" s="9">
        <v>442</v>
      </c>
      <c r="B139" s="1">
        <v>45749</v>
      </c>
      <c r="C139" t="s">
        <v>21</v>
      </c>
      <c r="E139">
        <v>82</v>
      </c>
      <c r="F139">
        <v>0.32</v>
      </c>
      <c r="H139" s="10" t="s">
        <v>333</v>
      </c>
      <c r="J139">
        <f t="shared" si="7"/>
        <v>-6.5</v>
      </c>
    </row>
    <row r="140" spans="1:10" x14ac:dyDescent="0.2">
      <c r="A140" s="5">
        <v>446</v>
      </c>
      <c r="B140" s="6">
        <v>45763</v>
      </c>
      <c r="C140" s="7" t="s">
        <v>7</v>
      </c>
      <c r="D140" s="7">
        <v>53.5</v>
      </c>
      <c r="E140" s="7"/>
      <c r="F140" s="7">
        <v>0.14000000000000001</v>
      </c>
      <c r="G140" s="7"/>
      <c r="H140" s="8"/>
    </row>
    <row r="141" spans="1:10" x14ac:dyDescent="0.2">
      <c r="A141" s="9">
        <v>447</v>
      </c>
      <c r="B141" s="1">
        <v>45763</v>
      </c>
      <c r="C141" t="s">
        <v>21</v>
      </c>
      <c r="E141">
        <v>69.900000000000006</v>
      </c>
      <c r="F141">
        <v>0.14000000000000001</v>
      </c>
      <c r="H141" s="10" t="s">
        <v>346</v>
      </c>
      <c r="J141">
        <f t="shared" si="7"/>
        <v>16.400000000000006</v>
      </c>
    </row>
    <row r="142" spans="1:10" x14ac:dyDescent="0.2">
      <c r="A142" s="9">
        <v>455</v>
      </c>
      <c r="B142" s="1">
        <v>45763</v>
      </c>
      <c r="C142" t="s">
        <v>7</v>
      </c>
      <c r="D142">
        <v>75.7</v>
      </c>
      <c r="F142">
        <v>0.15</v>
      </c>
      <c r="H142" s="10"/>
    </row>
    <row r="143" spans="1:10" x14ac:dyDescent="0.2">
      <c r="A143" s="9">
        <v>456</v>
      </c>
      <c r="B143" s="1">
        <v>45763</v>
      </c>
      <c r="C143" t="s">
        <v>21</v>
      </c>
      <c r="E143">
        <v>81.599999999999994</v>
      </c>
      <c r="F143">
        <v>0.12</v>
      </c>
      <c r="H143" s="10" t="s">
        <v>355</v>
      </c>
      <c r="J143">
        <f t="shared" si="7"/>
        <v>5.8999999999999915</v>
      </c>
    </row>
    <row r="144" spans="1:10" x14ac:dyDescent="0.2">
      <c r="A144" s="9">
        <v>460</v>
      </c>
      <c r="B144" s="1">
        <v>45763</v>
      </c>
      <c r="C144" t="s">
        <v>7</v>
      </c>
      <c r="D144">
        <v>62.1</v>
      </c>
      <c r="F144">
        <v>0.2</v>
      </c>
      <c r="G144" t="s">
        <v>37</v>
      </c>
      <c r="H144" s="10"/>
    </row>
    <row r="145" spans="1:10" ht="17" thickBot="1" x14ac:dyDescent="0.25">
      <c r="A145" s="11">
        <v>461</v>
      </c>
      <c r="B145" s="12">
        <v>45763</v>
      </c>
      <c r="C145" s="13" t="s">
        <v>5</v>
      </c>
      <c r="D145" s="13"/>
      <c r="E145" s="13">
        <v>85.4</v>
      </c>
      <c r="F145" s="13">
        <v>0.12</v>
      </c>
      <c r="G145" s="13"/>
      <c r="H145" s="14" t="s">
        <v>360</v>
      </c>
      <c r="J145">
        <f t="shared" si="7"/>
        <v>23.300000000000004</v>
      </c>
    </row>
    <row r="146" spans="1:10" x14ac:dyDescent="0.2">
      <c r="A146" s="5">
        <v>467</v>
      </c>
      <c r="B146" s="6">
        <v>45777</v>
      </c>
      <c r="C146" s="7" t="s">
        <v>7</v>
      </c>
      <c r="D146" s="7">
        <v>72.5</v>
      </c>
      <c r="E146" s="7"/>
      <c r="F146" s="7">
        <v>0.17</v>
      </c>
      <c r="G146" s="7"/>
      <c r="H146" s="8"/>
    </row>
    <row r="147" spans="1:10" x14ac:dyDescent="0.2">
      <c r="A147" s="9">
        <v>468</v>
      </c>
      <c r="B147" s="1">
        <v>45777</v>
      </c>
      <c r="C147" t="s">
        <v>5</v>
      </c>
      <c r="E147">
        <v>82.8</v>
      </c>
      <c r="F147">
        <v>0.14000000000000001</v>
      </c>
      <c r="H147" s="10" t="s">
        <v>379</v>
      </c>
      <c r="J147">
        <f t="shared" si="7"/>
        <v>10.299999999999997</v>
      </c>
    </row>
    <row r="148" spans="1:10" x14ac:dyDescent="0.2">
      <c r="A148" s="9">
        <v>474</v>
      </c>
      <c r="B148" s="1">
        <v>45777</v>
      </c>
      <c r="C148" t="s">
        <v>7</v>
      </c>
      <c r="D148">
        <v>56.2</v>
      </c>
      <c r="F148">
        <v>0.08</v>
      </c>
      <c r="H148" s="10"/>
    </row>
    <row r="149" spans="1:10" ht="17" thickBot="1" x14ac:dyDescent="0.25">
      <c r="A149" s="11">
        <v>475</v>
      </c>
      <c r="B149" s="12">
        <v>45777</v>
      </c>
      <c r="C149" s="13" t="s">
        <v>5</v>
      </c>
      <c r="D149" s="13"/>
      <c r="E149" s="13">
        <v>75.8</v>
      </c>
      <c r="F149" s="13"/>
      <c r="G149" s="13"/>
      <c r="H149" s="14" t="s">
        <v>382</v>
      </c>
      <c r="J149">
        <f t="shared" si="7"/>
        <v>19.599999999999994</v>
      </c>
    </row>
    <row r="150" spans="1:10" x14ac:dyDescent="0.2">
      <c r="A150" s="5">
        <v>483</v>
      </c>
      <c r="B150" s="6">
        <v>45791</v>
      </c>
      <c r="C150" s="7" t="s">
        <v>7</v>
      </c>
      <c r="D150" s="7">
        <v>72.900000000000006</v>
      </c>
      <c r="E150" s="7"/>
      <c r="F150" s="7">
        <v>0.17</v>
      </c>
      <c r="G150" s="7"/>
      <c r="H150" s="8"/>
    </row>
    <row r="151" spans="1:10" ht="17" thickBot="1" x14ac:dyDescent="0.25">
      <c r="A151" s="11">
        <v>484</v>
      </c>
      <c r="B151" s="12">
        <v>45791</v>
      </c>
      <c r="C151" s="13" t="s">
        <v>5</v>
      </c>
      <c r="D151" s="13"/>
      <c r="E151" s="13">
        <v>78.2</v>
      </c>
      <c r="F151" s="13">
        <v>0.1</v>
      </c>
      <c r="G151" s="13"/>
      <c r="H151" s="14" t="s">
        <v>397</v>
      </c>
      <c r="J151">
        <f t="shared" si="7"/>
        <v>5.2999999999999972</v>
      </c>
    </row>
    <row r="152" spans="1:10" x14ac:dyDescent="0.2">
      <c r="A152" s="9">
        <v>490</v>
      </c>
      <c r="B152" s="1">
        <v>45805</v>
      </c>
      <c r="C152" t="s">
        <v>7</v>
      </c>
      <c r="D152">
        <v>71</v>
      </c>
      <c r="F152">
        <v>0.17</v>
      </c>
      <c r="H152" s="10"/>
    </row>
    <row r="153" spans="1:10" x14ac:dyDescent="0.2">
      <c r="A153" s="9">
        <v>491</v>
      </c>
      <c r="B153" s="1">
        <v>45805</v>
      </c>
      <c r="C153" t="s">
        <v>5</v>
      </c>
      <c r="E153">
        <v>83.8</v>
      </c>
      <c r="F153">
        <v>0.11</v>
      </c>
      <c r="H153" s="10" t="s">
        <v>403</v>
      </c>
      <c r="J153">
        <f t="shared" si="7"/>
        <v>12.799999999999997</v>
      </c>
    </row>
    <row r="154" spans="1:10" x14ac:dyDescent="0.2">
      <c r="A154" s="9">
        <v>494</v>
      </c>
      <c r="B154" s="1">
        <v>45805</v>
      </c>
      <c r="C154" t="s">
        <v>7</v>
      </c>
      <c r="D154">
        <v>86.3</v>
      </c>
      <c r="F154">
        <v>0.41</v>
      </c>
      <c r="H154" s="10"/>
    </row>
    <row r="155" spans="1:10" x14ac:dyDescent="0.2">
      <c r="A155" s="9">
        <v>495</v>
      </c>
      <c r="B155" s="1">
        <v>45805</v>
      </c>
      <c r="C155" t="s">
        <v>5</v>
      </c>
      <c r="E155">
        <v>80.3</v>
      </c>
      <c r="F155">
        <v>0.33</v>
      </c>
      <c r="H155" s="10" t="s">
        <v>407</v>
      </c>
      <c r="J155">
        <f t="shared" si="7"/>
        <v>-6</v>
      </c>
    </row>
    <row r="156" spans="1:10" x14ac:dyDescent="0.2">
      <c r="A156" s="9">
        <v>496</v>
      </c>
      <c r="B156" s="1">
        <v>45805</v>
      </c>
      <c r="C156" t="s">
        <v>7</v>
      </c>
      <c r="D156">
        <v>88.4</v>
      </c>
      <c r="F156">
        <v>0.13</v>
      </c>
      <c r="H156" s="10"/>
    </row>
    <row r="157" spans="1:10" x14ac:dyDescent="0.2">
      <c r="A157" s="9">
        <v>497</v>
      </c>
      <c r="B157" s="1">
        <v>45805</v>
      </c>
      <c r="C157" t="s">
        <v>5</v>
      </c>
      <c r="E157">
        <v>74.900000000000006</v>
      </c>
      <c r="H157" s="10" t="s">
        <v>409</v>
      </c>
      <c r="J157">
        <f t="shared" si="7"/>
        <v>-13.5</v>
      </c>
    </row>
    <row r="158" spans="1:10" x14ac:dyDescent="0.2">
      <c r="A158" s="9">
        <v>500</v>
      </c>
      <c r="B158" s="1">
        <v>45805</v>
      </c>
      <c r="C158" t="s">
        <v>7</v>
      </c>
      <c r="D158">
        <v>56.1</v>
      </c>
      <c r="F158">
        <v>0.18</v>
      </c>
      <c r="G158" t="s">
        <v>37</v>
      </c>
      <c r="H158" s="10"/>
    </row>
    <row r="159" spans="1:10" ht="17" thickBot="1" x14ac:dyDescent="0.25">
      <c r="A159" s="11">
        <v>501</v>
      </c>
      <c r="B159" s="12">
        <v>45805</v>
      </c>
      <c r="C159" s="13" t="s">
        <v>5</v>
      </c>
      <c r="D159" s="13"/>
      <c r="E159" s="13">
        <v>82.3</v>
      </c>
      <c r="F159" s="13">
        <v>0.1</v>
      </c>
      <c r="G159" s="13"/>
      <c r="H159" s="14" t="s">
        <v>417</v>
      </c>
      <c r="J159">
        <f t="shared" si="7"/>
        <v>26.199999999999996</v>
      </c>
    </row>
    <row r="160" spans="1:10" x14ac:dyDescent="0.2">
      <c r="A160" s="9">
        <v>506</v>
      </c>
      <c r="B160" s="1">
        <v>45819</v>
      </c>
      <c r="C160" t="s">
        <v>7</v>
      </c>
      <c r="D160">
        <v>76.3</v>
      </c>
      <c r="F160">
        <v>0.17</v>
      </c>
      <c r="H160" s="10"/>
    </row>
    <row r="161" spans="1:10" ht="17" thickBot="1" x14ac:dyDescent="0.25">
      <c r="A161" s="11">
        <v>507</v>
      </c>
      <c r="B161" s="12">
        <v>45819</v>
      </c>
      <c r="C161" s="13" t="s">
        <v>5</v>
      </c>
      <c r="D161" s="13"/>
      <c r="E161" s="13">
        <v>83.6</v>
      </c>
      <c r="F161" s="13">
        <v>0.1</v>
      </c>
      <c r="G161" s="13"/>
      <c r="H161" s="14" t="s">
        <v>424</v>
      </c>
      <c r="J161">
        <f t="shared" si="7"/>
        <v>7.2999999999999972</v>
      </c>
    </row>
    <row r="162" spans="1:10" x14ac:dyDescent="0.2">
      <c r="A162" s="5">
        <v>514</v>
      </c>
      <c r="B162" s="6">
        <v>45833</v>
      </c>
      <c r="C162" s="7" t="s">
        <v>7</v>
      </c>
      <c r="D162" s="7">
        <v>81.400000000000006</v>
      </c>
      <c r="E162" s="7"/>
      <c r="F162" s="7"/>
      <c r="G162" s="7"/>
      <c r="H162" s="8"/>
    </row>
    <row r="163" spans="1:10" ht="17" thickBot="1" x14ac:dyDescent="0.25">
      <c r="A163" s="11">
        <v>515</v>
      </c>
      <c r="B163" s="12">
        <v>45833</v>
      </c>
      <c r="C163" s="13" t="s">
        <v>5</v>
      </c>
      <c r="D163" s="13"/>
      <c r="E163" s="13">
        <v>82</v>
      </c>
      <c r="F163" s="13"/>
      <c r="G163" s="13"/>
      <c r="H163" s="14" t="s">
        <v>434</v>
      </c>
      <c r="J163">
        <f t="shared" si="7"/>
        <v>0.59999999999999432</v>
      </c>
    </row>
    <row r="164" spans="1:10" x14ac:dyDescent="0.2">
      <c r="A164" s="5">
        <v>521</v>
      </c>
      <c r="B164" s="6">
        <v>45847</v>
      </c>
      <c r="C164" s="7" t="s">
        <v>7</v>
      </c>
      <c r="D164" s="7">
        <v>76.3</v>
      </c>
      <c r="E164" s="7"/>
      <c r="F164" s="7">
        <v>0.19</v>
      </c>
      <c r="G164" s="7"/>
      <c r="H164" s="8"/>
    </row>
    <row r="165" spans="1:10" x14ac:dyDescent="0.2">
      <c r="A165" s="9">
        <v>522</v>
      </c>
      <c r="B165" s="1">
        <v>45847</v>
      </c>
      <c r="C165" t="s">
        <v>21</v>
      </c>
      <c r="E165">
        <v>80.8</v>
      </c>
      <c r="F165">
        <v>0.13</v>
      </c>
      <c r="H165" s="10" t="s">
        <v>453</v>
      </c>
      <c r="J165">
        <f t="shared" si="7"/>
        <v>4.5</v>
      </c>
    </row>
    <row r="166" spans="1:10" x14ac:dyDescent="0.2">
      <c r="A166" s="9">
        <v>533</v>
      </c>
      <c r="B166" s="1">
        <v>45847</v>
      </c>
      <c r="C166" t="s">
        <v>7</v>
      </c>
      <c r="D166">
        <v>65.8</v>
      </c>
      <c r="F166">
        <v>0.15</v>
      </c>
      <c r="H166" s="10"/>
    </row>
    <row r="167" spans="1:10" ht="17" thickBot="1" x14ac:dyDescent="0.25">
      <c r="A167" s="11">
        <v>534</v>
      </c>
      <c r="B167" s="12">
        <v>45847</v>
      </c>
      <c r="C167" s="13" t="s">
        <v>21</v>
      </c>
      <c r="D167" s="13"/>
      <c r="E167" s="13">
        <v>84</v>
      </c>
      <c r="F167" s="13">
        <v>0.11</v>
      </c>
      <c r="G167" s="13"/>
      <c r="H167" s="14" t="s">
        <v>454</v>
      </c>
      <c r="J167">
        <f t="shared" si="7"/>
        <v>18.200000000000003</v>
      </c>
    </row>
    <row r="168" spans="1:10" x14ac:dyDescent="0.2">
      <c r="A168" s="9">
        <v>539</v>
      </c>
      <c r="B168" s="1">
        <v>45861</v>
      </c>
      <c r="C168" t="s">
        <v>7</v>
      </c>
      <c r="D168">
        <v>76.5</v>
      </c>
      <c r="F168">
        <v>0.17</v>
      </c>
      <c r="H168" s="10"/>
    </row>
    <row r="169" spans="1:10" x14ac:dyDescent="0.2">
      <c r="A169" s="9">
        <v>540</v>
      </c>
      <c r="B169" s="1">
        <v>45861</v>
      </c>
      <c r="C169" t="s">
        <v>21</v>
      </c>
      <c r="E169">
        <v>80</v>
      </c>
      <c r="F169">
        <v>0.13</v>
      </c>
      <c r="H169" s="10" t="s">
        <v>463</v>
      </c>
      <c r="J169">
        <f t="shared" si="7"/>
        <v>3.5</v>
      </c>
    </row>
    <row r="170" spans="1:10" x14ac:dyDescent="0.2">
      <c r="A170" s="9">
        <v>544</v>
      </c>
      <c r="B170" s="1">
        <v>45861</v>
      </c>
      <c r="C170" t="s">
        <v>7</v>
      </c>
      <c r="D170">
        <v>90.5</v>
      </c>
      <c r="F170">
        <v>0.46</v>
      </c>
      <c r="H170" s="10"/>
    </row>
    <row r="171" spans="1:10" ht="17" thickBot="1" x14ac:dyDescent="0.25">
      <c r="A171" s="11">
        <v>545</v>
      </c>
      <c r="B171" s="12">
        <v>45861</v>
      </c>
      <c r="C171" s="13" t="s">
        <v>21</v>
      </c>
      <c r="D171" s="13"/>
      <c r="E171" s="13">
        <v>82.3</v>
      </c>
      <c r="F171" s="13">
        <v>0.41</v>
      </c>
      <c r="G171" s="13"/>
      <c r="H171" s="14" t="s">
        <v>468</v>
      </c>
      <c r="J171">
        <f t="shared" si="7"/>
        <v>-8.2000000000000028</v>
      </c>
    </row>
    <row r="172" spans="1:10" x14ac:dyDescent="0.2">
      <c r="A172" s="5">
        <v>553</v>
      </c>
      <c r="B172" s="6">
        <v>45903</v>
      </c>
      <c r="C172" s="7" t="s">
        <v>7</v>
      </c>
      <c r="D172" s="7">
        <v>85.5</v>
      </c>
      <c r="E172" s="7"/>
      <c r="F172" s="7">
        <v>0.18</v>
      </c>
      <c r="G172" s="7"/>
      <c r="H172" s="8"/>
    </row>
    <row r="173" spans="1:10" x14ac:dyDescent="0.2">
      <c r="A173" s="9">
        <v>554</v>
      </c>
      <c r="B173" s="1">
        <v>45903</v>
      </c>
      <c r="C173" t="s">
        <v>5</v>
      </c>
      <c r="E173">
        <v>88.9</v>
      </c>
      <c r="F173">
        <v>0.13</v>
      </c>
      <c r="H173" s="10" t="s">
        <v>474</v>
      </c>
      <c r="J173">
        <f t="shared" si="7"/>
        <v>3.4000000000000057</v>
      </c>
    </row>
    <row r="174" spans="1:10" x14ac:dyDescent="0.2">
      <c r="A174" s="9">
        <v>556</v>
      </c>
      <c r="B174" s="1">
        <v>45903</v>
      </c>
      <c r="C174" t="s">
        <v>7</v>
      </c>
      <c r="D174">
        <v>53.7</v>
      </c>
      <c r="F174">
        <v>0.19</v>
      </c>
      <c r="H174" s="10"/>
    </row>
    <row r="175" spans="1:10" x14ac:dyDescent="0.2">
      <c r="A175" s="9">
        <v>557</v>
      </c>
      <c r="B175" s="1">
        <v>45903</v>
      </c>
      <c r="C175" t="s">
        <v>5</v>
      </c>
      <c r="E175">
        <v>93.1</v>
      </c>
      <c r="F175">
        <v>0.08</v>
      </c>
      <c r="H175" s="10" t="s">
        <v>478</v>
      </c>
      <c r="J175">
        <f t="shared" si="7"/>
        <v>39.399999999999991</v>
      </c>
    </row>
    <row r="176" spans="1:10" x14ac:dyDescent="0.2">
      <c r="A176" s="9">
        <v>559</v>
      </c>
      <c r="B176" s="1">
        <v>45903</v>
      </c>
      <c r="C176" t="s">
        <v>7</v>
      </c>
      <c r="D176">
        <v>97.1</v>
      </c>
      <c r="F176">
        <v>0.4</v>
      </c>
      <c r="H176" s="10"/>
    </row>
    <row r="177" spans="1:10" ht="17" thickBot="1" x14ac:dyDescent="0.25">
      <c r="A177" s="11">
        <v>560</v>
      </c>
      <c r="B177" s="12">
        <v>45903</v>
      </c>
      <c r="C177" s="13" t="s">
        <v>5</v>
      </c>
      <c r="D177" s="13"/>
      <c r="E177" s="13">
        <v>82.5</v>
      </c>
      <c r="F177" s="13">
        <v>0.33</v>
      </c>
      <c r="G177" s="13"/>
      <c r="H177" s="14" t="s">
        <v>481</v>
      </c>
      <c r="J177">
        <f t="shared" si="7"/>
        <v>-14.599999999999994</v>
      </c>
    </row>
    <row r="178" spans="1:10" x14ac:dyDescent="0.2">
      <c r="A178" s="5">
        <v>564</v>
      </c>
      <c r="B178" s="6">
        <v>45917</v>
      </c>
      <c r="C178" s="7" t="s">
        <v>7</v>
      </c>
      <c r="D178" s="7">
        <v>74.099999999999994</v>
      </c>
      <c r="E178" s="7"/>
      <c r="F178" s="7">
        <v>0.18</v>
      </c>
      <c r="G178" s="7"/>
      <c r="H178" s="8"/>
    </row>
    <row r="179" spans="1:10" x14ac:dyDescent="0.2">
      <c r="A179" s="9">
        <v>565</v>
      </c>
      <c r="B179" s="1">
        <v>45917</v>
      </c>
      <c r="C179" t="s">
        <v>5</v>
      </c>
      <c r="E179">
        <v>90.7</v>
      </c>
      <c r="F179">
        <v>0.11</v>
      </c>
      <c r="H179" s="10" t="s">
        <v>489</v>
      </c>
      <c r="J179">
        <f t="shared" si="7"/>
        <v>16.600000000000009</v>
      </c>
    </row>
    <row r="180" spans="1:10" x14ac:dyDescent="0.2">
      <c r="A180" s="9">
        <v>566</v>
      </c>
      <c r="B180" s="1">
        <v>45917</v>
      </c>
      <c r="C180" t="s">
        <v>7</v>
      </c>
      <c r="D180">
        <v>68.5</v>
      </c>
      <c r="F180">
        <v>0.1</v>
      </c>
      <c r="H180" s="10"/>
    </row>
    <row r="181" spans="1:10" x14ac:dyDescent="0.2">
      <c r="A181" s="9">
        <v>567</v>
      </c>
      <c r="B181" s="1">
        <v>45917</v>
      </c>
      <c r="C181" t="s">
        <v>5</v>
      </c>
      <c r="E181">
        <v>87.3</v>
      </c>
      <c r="F181">
        <v>0.08</v>
      </c>
      <c r="H181" s="10" t="s">
        <v>488</v>
      </c>
      <c r="J181">
        <f t="shared" si="7"/>
        <v>18.799999999999997</v>
      </c>
    </row>
    <row r="182" spans="1:10" x14ac:dyDescent="0.2">
      <c r="A182" s="9">
        <v>569</v>
      </c>
      <c r="B182" s="1">
        <v>45917</v>
      </c>
      <c r="C182" t="s">
        <v>7</v>
      </c>
      <c r="D182">
        <v>75.3</v>
      </c>
      <c r="F182">
        <v>0.17</v>
      </c>
      <c r="G182" t="s">
        <v>37</v>
      </c>
      <c r="H182" s="10"/>
    </row>
    <row r="183" spans="1:10" x14ac:dyDescent="0.2">
      <c r="A183" s="9">
        <v>570</v>
      </c>
      <c r="B183" s="1">
        <v>45917</v>
      </c>
      <c r="C183" t="s">
        <v>5</v>
      </c>
      <c r="E183">
        <v>87.1</v>
      </c>
      <c r="F183">
        <v>0.14000000000000001</v>
      </c>
      <c r="H183" s="10" t="s">
        <v>493</v>
      </c>
      <c r="J183">
        <f t="shared" si="7"/>
        <v>11.799999999999997</v>
      </c>
    </row>
    <row r="184" spans="1:10" x14ac:dyDescent="0.2">
      <c r="A184" s="9">
        <v>572</v>
      </c>
      <c r="B184" s="1">
        <v>45917</v>
      </c>
      <c r="C184" t="s">
        <v>7</v>
      </c>
      <c r="D184">
        <v>72</v>
      </c>
      <c r="F184">
        <v>0.21</v>
      </c>
      <c r="H184" s="10"/>
    </row>
    <row r="185" spans="1:10" ht="17" thickBot="1" x14ac:dyDescent="0.25">
      <c r="A185" s="11">
        <v>573</v>
      </c>
      <c r="B185" s="12">
        <v>45917</v>
      </c>
      <c r="C185" s="13" t="s">
        <v>5</v>
      </c>
      <c r="D185" s="13"/>
      <c r="E185" s="13">
        <v>81.5</v>
      </c>
      <c r="F185" s="13">
        <v>0.14000000000000001</v>
      </c>
      <c r="G185" s="13"/>
      <c r="H185" s="14" t="s">
        <v>496</v>
      </c>
      <c r="J185">
        <f t="shared" si="7"/>
        <v>9.5</v>
      </c>
    </row>
    <row r="186" spans="1:10" x14ac:dyDescent="0.2">
      <c r="A186" s="5">
        <v>575</v>
      </c>
      <c r="B186" s="6">
        <v>45931</v>
      </c>
      <c r="C186" s="7" t="s">
        <v>7</v>
      </c>
      <c r="D186" s="7">
        <v>94.5</v>
      </c>
      <c r="E186" s="7"/>
      <c r="F186" s="7">
        <v>0.27</v>
      </c>
      <c r="G186" s="7"/>
      <c r="H186" s="8"/>
    </row>
    <row r="187" spans="1:10" x14ac:dyDescent="0.2">
      <c r="A187" s="9">
        <v>576</v>
      </c>
      <c r="B187" s="1">
        <v>45931</v>
      </c>
      <c r="C187" t="s">
        <v>5</v>
      </c>
      <c r="E187">
        <v>82.8</v>
      </c>
      <c r="F187">
        <v>0.26</v>
      </c>
      <c r="H187" s="10" t="s">
        <v>500</v>
      </c>
      <c r="J187">
        <f t="shared" si="7"/>
        <v>-11.700000000000003</v>
      </c>
    </row>
    <row r="188" spans="1:10" x14ac:dyDescent="0.2">
      <c r="A188" s="9">
        <v>583</v>
      </c>
      <c r="B188" s="1">
        <v>45931</v>
      </c>
      <c r="C188" t="s">
        <v>7</v>
      </c>
      <c r="D188">
        <v>71.400000000000006</v>
      </c>
      <c r="F188">
        <v>0.16</v>
      </c>
      <c r="H188" s="10"/>
    </row>
    <row r="189" spans="1:10" ht="17" thickBot="1" x14ac:dyDescent="0.25">
      <c r="A189" s="11">
        <v>584</v>
      </c>
      <c r="B189" s="12">
        <v>45931</v>
      </c>
      <c r="C189" s="13" t="s">
        <v>5</v>
      </c>
      <c r="D189" s="13"/>
      <c r="E189" s="13">
        <v>81.3</v>
      </c>
      <c r="F189" s="13">
        <v>0.14000000000000001</v>
      </c>
      <c r="G189" s="13"/>
      <c r="H189" s="14" t="s">
        <v>508</v>
      </c>
      <c r="J189">
        <f t="shared" si="7"/>
        <v>9.8999999999999915</v>
      </c>
    </row>
    <row r="190" spans="1:10" x14ac:dyDescent="0.2">
      <c r="A190" s="5">
        <v>591</v>
      </c>
      <c r="B190" s="6">
        <v>45945</v>
      </c>
      <c r="C190" s="7" t="s">
        <v>7</v>
      </c>
      <c r="D190" s="7">
        <v>76.3</v>
      </c>
      <c r="E190" s="7"/>
      <c r="F190" s="7">
        <v>0.16</v>
      </c>
      <c r="G190" s="7"/>
      <c r="H190" s="8"/>
    </row>
    <row r="191" spans="1:10" ht="17" thickBot="1" x14ac:dyDescent="0.25">
      <c r="A191" s="11">
        <v>592</v>
      </c>
      <c r="B191" s="12">
        <v>45945</v>
      </c>
      <c r="C191" s="13" t="s">
        <v>5</v>
      </c>
      <c r="D191" s="13"/>
      <c r="E191" s="13">
        <v>67.3</v>
      </c>
      <c r="F191" s="13">
        <v>0.15</v>
      </c>
      <c r="G191" s="13"/>
      <c r="H191" s="14" t="s">
        <v>515</v>
      </c>
      <c r="J191">
        <f t="shared" si="7"/>
        <v>-9</v>
      </c>
    </row>
    <row r="192" spans="1:10" x14ac:dyDescent="0.2">
      <c r="A192" s="5">
        <v>600</v>
      </c>
      <c r="B192" s="6">
        <v>45959</v>
      </c>
      <c r="C192" s="7" t="s">
        <v>7</v>
      </c>
      <c r="D192" s="7">
        <v>89.8</v>
      </c>
      <c r="E192" s="7"/>
      <c r="F192" s="7">
        <v>0.26</v>
      </c>
      <c r="G192" s="7"/>
      <c r="H192" s="8" t="s">
        <v>526</v>
      </c>
    </row>
    <row r="193" spans="1:10" ht="17" thickBot="1" x14ac:dyDescent="0.25">
      <c r="A193" s="11">
        <v>602</v>
      </c>
      <c r="B193" s="12">
        <v>45959</v>
      </c>
      <c r="C193" s="13" t="s">
        <v>5</v>
      </c>
      <c r="D193" s="13"/>
      <c r="E193" s="13">
        <v>88.8</v>
      </c>
      <c r="F193" s="13">
        <v>0.23</v>
      </c>
      <c r="G193" s="13"/>
      <c r="H193" s="14" t="s">
        <v>527</v>
      </c>
      <c r="J193">
        <f t="shared" si="7"/>
        <v>-1</v>
      </c>
    </row>
    <row r="194" spans="1:10" x14ac:dyDescent="0.2">
      <c r="A194" s="52">
        <v>613</v>
      </c>
      <c r="B194" s="6">
        <v>45973</v>
      </c>
      <c r="C194" s="7" t="s">
        <v>7</v>
      </c>
      <c r="D194" s="7">
        <v>67.7</v>
      </c>
      <c r="E194" s="7"/>
      <c r="F194" s="7">
        <v>0.12</v>
      </c>
      <c r="G194" s="7"/>
      <c r="H194" s="8"/>
    </row>
    <row r="195" spans="1:10" ht="17" thickBot="1" x14ac:dyDescent="0.25">
      <c r="A195" s="53">
        <v>614</v>
      </c>
      <c r="B195" s="12">
        <v>45973</v>
      </c>
      <c r="C195" s="13" t="s">
        <v>5</v>
      </c>
      <c r="D195" s="13"/>
      <c r="E195" s="13">
        <v>83.3</v>
      </c>
      <c r="F195" s="13">
        <v>7.0000000000000007E-2</v>
      </c>
      <c r="G195" s="13"/>
      <c r="H195" s="14" t="s">
        <v>544</v>
      </c>
      <c r="J195">
        <f t="shared" si="7"/>
        <v>15.599999999999994</v>
      </c>
    </row>
    <row r="196" spans="1:10" x14ac:dyDescent="0.2">
      <c r="A196" s="9">
        <v>617</v>
      </c>
      <c r="B196" s="1">
        <v>45987</v>
      </c>
      <c r="C196" t="s">
        <v>7</v>
      </c>
      <c r="D196">
        <v>63.4</v>
      </c>
      <c r="F196">
        <v>0.15</v>
      </c>
    </row>
    <row r="197" spans="1:10" x14ac:dyDescent="0.2">
      <c r="A197" s="9">
        <v>618</v>
      </c>
      <c r="B197" s="1">
        <v>45987</v>
      </c>
      <c r="C197" t="s">
        <v>21</v>
      </c>
      <c r="E197">
        <v>87.1</v>
      </c>
      <c r="H197" t="s">
        <v>554</v>
      </c>
      <c r="J197">
        <f t="shared" si="7"/>
        <v>23.699999999999996</v>
      </c>
    </row>
    <row r="198" spans="1:10" x14ac:dyDescent="0.2">
      <c r="A198" s="9">
        <v>624</v>
      </c>
      <c r="B198" s="1">
        <v>45987</v>
      </c>
      <c r="C198" t="s">
        <v>7</v>
      </c>
      <c r="D198">
        <v>74.900000000000006</v>
      </c>
      <c r="F198">
        <v>0.2</v>
      </c>
    </row>
    <row r="199" spans="1:10" ht="17" thickBot="1" x14ac:dyDescent="0.25">
      <c r="A199" s="9">
        <v>625</v>
      </c>
      <c r="B199" s="1">
        <v>45987</v>
      </c>
      <c r="C199" t="s">
        <v>21</v>
      </c>
      <c r="E199">
        <v>87.3</v>
      </c>
      <c r="F199">
        <v>0.13</v>
      </c>
      <c r="H199" t="s">
        <v>559</v>
      </c>
      <c r="J199">
        <f t="shared" si="7"/>
        <v>12.399999999999991</v>
      </c>
    </row>
    <row r="200" spans="1:10" x14ac:dyDescent="0.2">
      <c r="A200" s="5">
        <v>634</v>
      </c>
      <c r="B200" s="6">
        <v>46043</v>
      </c>
      <c r="C200" s="7" t="s">
        <v>7</v>
      </c>
      <c r="D200" s="7">
        <v>56.7</v>
      </c>
      <c r="E200" s="7"/>
      <c r="F200" s="7">
        <v>0.14000000000000001</v>
      </c>
      <c r="G200" s="7"/>
      <c r="H200" s="8"/>
    </row>
    <row r="201" spans="1:10" x14ac:dyDescent="0.2">
      <c r="A201" s="9">
        <v>635</v>
      </c>
      <c r="B201" s="1">
        <v>46194</v>
      </c>
      <c r="C201" t="s">
        <v>21</v>
      </c>
      <c r="E201">
        <v>86.1</v>
      </c>
      <c r="F201">
        <v>0.11</v>
      </c>
      <c r="H201" s="10" t="s">
        <v>574</v>
      </c>
      <c r="J201">
        <f t="shared" si="7"/>
        <v>29.399999999999991</v>
      </c>
    </row>
    <row r="202" spans="1:10" x14ac:dyDescent="0.2">
      <c r="A202" s="9">
        <v>645</v>
      </c>
      <c r="B202" s="1">
        <v>46043</v>
      </c>
      <c r="C202" t="s">
        <v>7</v>
      </c>
      <c r="D202">
        <v>65.5</v>
      </c>
      <c r="F202">
        <v>0.12</v>
      </c>
      <c r="H202" s="10"/>
    </row>
    <row r="203" spans="1:10" ht="17" thickBot="1" x14ac:dyDescent="0.25">
      <c r="A203" s="11">
        <v>646</v>
      </c>
      <c r="B203" s="12">
        <v>46043</v>
      </c>
      <c r="C203" s="13" t="s">
        <v>21</v>
      </c>
      <c r="D203" s="13"/>
      <c r="E203" s="13">
        <v>87</v>
      </c>
      <c r="F203" s="13"/>
      <c r="G203" s="13"/>
      <c r="H203" s="14" t="s">
        <v>604</v>
      </c>
      <c r="J203">
        <f t="shared" ref="J203:J231" si="8">E203-D202</f>
        <v>21.5</v>
      </c>
    </row>
    <row r="204" spans="1:10" x14ac:dyDescent="0.2">
      <c r="A204" s="9">
        <v>649</v>
      </c>
      <c r="B204" s="1">
        <v>46057</v>
      </c>
      <c r="C204" t="s">
        <v>7</v>
      </c>
      <c r="D204">
        <v>94.6</v>
      </c>
      <c r="F204">
        <v>0.43</v>
      </c>
      <c r="H204" s="10"/>
    </row>
    <row r="205" spans="1:10" x14ac:dyDescent="0.2">
      <c r="A205" s="9">
        <v>650</v>
      </c>
      <c r="B205" s="1">
        <v>46057</v>
      </c>
      <c r="C205" t="s">
        <v>21</v>
      </c>
      <c r="E205">
        <v>88.3</v>
      </c>
      <c r="F205">
        <v>0.32</v>
      </c>
      <c r="H205" s="10" t="s">
        <v>605</v>
      </c>
      <c r="J205">
        <f t="shared" si="8"/>
        <v>-6.2999999999999972</v>
      </c>
    </row>
    <row r="206" spans="1:10" x14ac:dyDescent="0.2">
      <c r="A206" s="9">
        <v>651</v>
      </c>
      <c r="B206" s="1">
        <v>46057</v>
      </c>
      <c r="C206" t="s">
        <v>7</v>
      </c>
      <c r="D206">
        <v>92.2</v>
      </c>
      <c r="F206">
        <v>0.12</v>
      </c>
      <c r="H206" s="10"/>
    </row>
    <row r="207" spans="1:10" x14ac:dyDescent="0.2">
      <c r="A207" s="9">
        <v>652</v>
      </c>
      <c r="B207" s="1">
        <v>46057</v>
      </c>
      <c r="C207" t="s">
        <v>21</v>
      </c>
      <c r="E207">
        <v>88.5</v>
      </c>
      <c r="F207">
        <v>0.11</v>
      </c>
      <c r="H207" s="10" t="s">
        <v>606</v>
      </c>
      <c r="J207">
        <f t="shared" si="8"/>
        <v>-3.7000000000000028</v>
      </c>
    </row>
    <row r="208" spans="1:10" x14ac:dyDescent="0.2">
      <c r="A208" s="9">
        <v>655</v>
      </c>
      <c r="B208" s="1">
        <v>46057</v>
      </c>
      <c r="C208" t="s">
        <v>7</v>
      </c>
      <c r="D208">
        <v>88.1</v>
      </c>
      <c r="F208">
        <v>0.82</v>
      </c>
      <c r="H208" s="10"/>
    </row>
    <row r="209" spans="1:10" ht="17" thickBot="1" x14ac:dyDescent="0.25">
      <c r="A209" s="11">
        <v>656</v>
      </c>
      <c r="B209" s="12">
        <v>46057</v>
      </c>
      <c r="C209" s="13" t="s">
        <v>21</v>
      </c>
      <c r="D209" s="13"/>
      <c r="E209" s="13">
        <v>88.1</v>
      </c>
      <c r="F209" s="13">
        <v>0.3</v>
      </c>
      <c r="G209" s="13"/>
      <c r="H209" s="14" t="s">
        <v>607</v>
      </c>
      <c r="J209">
        <f t="shared" si="8"/>
        <v>0</v>
      </c>
    </row>
    <row r="210" spans="1:10" x14ac:dyDescent="0.2">
      <c r="A210" s="9">
        <v>657</v>
      </c>
      <c r="B210" s="1">
        <v>46085</v>
      </c>
      <c r="C210" t="s">
        <v>7</v>
      </c>
      <c r="D210">
        <v>63.2</v>
      </c>
      <c r="F210">
        <v>0.13</v>
      </c>
    </row>
    <row r="211" spans="1:10" x14ac:dyDescent="0.2">
      <c r="A211" s="57">
        <v>658</v>
      </c>
      <c r="B211" s="1">
        <v>46085</v>
      </c>
      <c r="C211" t="s">
        <v>5</v>
      </c>
      <c r="E211">
        <v>93.3</v>
      </c>
      <c r="F211">
        <v>0.08</v>
      </c>
      <c r="H211" s="58" t="s">
        <v>608</v>
      </c>
      <c r="J211">
        <f t="shared" si="8"/>
        <v>30.099999999999994</v>
      </c>
    </row>
    <row r="212" spans="1:10" x14ac:dyDescent="0.2">
      <c r="A212" s="57">
        <v>662</v>
      </c>
      <c r="B212" s="1">
        <v>46085</v>
      </c>
      <c r="C212" t="s">
        <v>7</v>
      </c>
      <c r="D212">
        <v>71.8</v>
      </c>
      <c r="F212">
        <v>0.22</v>
      </c>
      <c r="G212" t="s">
        <v>37</v>
      </c>
      <c r="H212" s="58"/>
    </row>
    <row r="213" spans="1:10" x14ac:dyDescent="0.2">
      <c r="A213" s="57">
        <v>663</v>
      </c>
      <c r="B213" s="1">
        <v>46085</v>
      </c>
      <c r="C213" t="s">
        <v>5</v>
      </c>
      <c r="E213">
        <v>86.7</v>
      </c>
      <c r="F213">
        <v>0.16</v>
      </c>
      <c r="H213" s="58" t="s">
        <v>613</v>
      </c>
      <c r="J213">
        <f t="shared" si="8"/>
        <v>14.900000000000006</v>
      </c>
    </row>
    <row r="214" spans="1:10" x14ac:dyDescent="0.2">
      <c r="A214" s="57">
        <v>666</v>
      </c>
      <c r="B214" s="1">
        <v>46085</v>
      </c>
      <c r="C214" t="s">
        <v>7</v>
      </c>
      <c r="D214">
        <v>64.7</v>
      </c>
      <c r="H214" s="58" t="s">
        <v>617</v>
      </c>
    </row>
    <row r="215" spans="1:10" x14ac:dyDescent="0.2">
      <c r="A215" s="57">
        <v>667</v>
      </c>
      <c r="B215" s="1">
        <v>46085</v>
      </c>
      <c r="C215" t="s">
        <v>5</v>
      </c>
      <c r="E215">
        <v>85.5</v>
      </c>
      <c r="F215">
        <v>0.15</v>
      </c>
      <c r="H215" s="58" t="s">
        <v>618</v>
      </c>
      <c r="J215">
        <f t="shared" si="8"/>
        <v>20.799999999999997</v>
      </c>
    </row>
    <row r="216" spans="1:10" x14ac:dyDescent="0.2">
      <c r="A216" s="9">
        <v>670</v>
      </c>
      <c r="B216" s="1">
        <v>46099</v>
      </c>
      <c r="C216" t="s">
        <v>7</v>
      </c>
      <c r="D216">
        <v>74</v>
      </c>
      <c r="F216" t="s">
        <v>622</v>
      </c>
      <c r="G216" t="s">
        <v>37</v>
      </c>
      <c r="H216" s="10"/>
    </row>
    <row r="217" spans="1:10" x14ac:dyDescent="0.2">
      <c r="A217" s="9">
        <v>671</v>
      </c>
      <c r="B217" s="1">
        <v>46099</v>
      </c>
      <c r="C217" t="s">
        <v>5</v>
      </c>
      <c r="E217">
        <v>88.7</v>
      </c>
      <c r="F217" t="s">
        <v>623</v>
      </c>
      <c r="H217" s="10" t="s">
        <v>630</v>
      </c>
      <c r="J217">
        <f t="shared" si="8"/>
        <v>14.700000000000003</v>
      </c>
    </row>
    <row r="218" spans="1:10" x14ac:dyDescent="0.2">
      <c r="A218" s="9">
        <v>676</v>
      </c>
      <c r="B218" s="1">
        <v>46099</v>
      </c>
      <c r="C218" t="s">
        <v>7</v>
      </c>
      <c r="D218">
        <v>60.8</v>
      </c>
      <c r="F218" t="s">
        <v>626</v>
      </c>
      <c r="G218" t="s">
        <v>37</v>
      </c>
      <c r="H218" s="10"/>
    </row>
    <row r="219" spans="1:10" x14ac:dyDescent="0.2">
      <c r="A219" s="9">
        <v>677</v>
      </c>
      <c r="B219" s="1">
        <v>46099</v>
      </c>
      <c r="C219" t="s">
        <v>5</v>
      </c>
      <c r="E219">
        <v>85.5</v>
      </c>
      <c r="F219" t="s">
        <v>622</v>
      </c>
      <c r="H219" s="10" t="s">
        <v>631</v>
      </c>
      <c r="J219">
        <f t="shared" si="8"/>
        <v>24.700000000000003</v>
      </c>
    </row>
    <row r="220" spans="1:10" x14ac:dyDescent="0.2">
      <c r="A220" s="57">
        <v>684</v>
      </c>
      <c r="B220" s="1">
        <v>46113</v>
      </c>
      <c r="C220" t="s">
        <v>7</v>
      </c>
      <c r="D220">
        <v>69.099999999999994</v>
      </c>
      <c r="H220" s="58"/>
    </row>
    <row r="221" spans="1:10" x14ac:dyDescent="0.2">
      <c r="A221" s="57">
        <v>685</v>
      </c>
      <c r="B221" s="1">
        <v>46113</v>
      </c>
      <c r="C221" t="s">
        <v>5</v>
      </c>
      <c r="E221">
        <v>87.8</v>
      </c>
      <c r="H221" s="58" t="s">
        <v>636</v>
      </c>
      <c r="J221">
        <f t="shared" si="8"/>
        <v>18.700000000000003</v>
      </c>
    </row>
    <row r="222" spans="1:10" x14ac:dyDescent="0.2">
      <c r="A222" s="57">
        <v>687</v>
      </c>
      <c r="B222" s="1">
        <v>46113</v>
      </c>
      <c r="C222" t="s">
        <v>7</v>
      </c>
      <c r="D222">
        <v>54.2</v>
      </c>
      <c r="F222" t="s">
        <v>640</v>
      </c>
      <c r="H222" s="58" t="s">
        <v>638</v>
      </c>
    </row>
    <row r="223" spans="1:10" x14ac:dyDescent="0.2">
      <c r="A223" s="57">
        <v>688</v>
      </c>
      <c r="B223" s="1">
        <v>46113</v>
      </c>
      <c r="C223" t="s">
        <v>5</v>
      </c>
      <c r="E223">
        <v>87.9</v>
      </c>
      <c r="F223" t="s">
        <v>626</v>
      </c>
      <c r="H223" s="58" t="s">
        <v>639</v>
      </c>
      <c r="J223">
        <f t="shared" si="8"/>
        <v>33.700000000000003</v>
      </c>
    </row>
    <row r="224" spans="1:10" x14ac:dyDescent="0.2">
      <c r="A224" s="57">
        <v>691</v>
      </c>
      <c r="B224" s="1">
        <v>46113</v>
      </c>
      <c r="C224" t="s">
        <v>7</v>
      </c>
      <c r="D224">
        <v>60.8</v>
      </c>
      <c r="F224" t="s">
        <v>626</v>
      </c>
      <c r="H224" s="58"/>
    </row>
    <row r="225" spans="1:10" x14ac:dyDescent="0.2">
      <c r="A225" s="57">
        <v>692</v>
      </c>
      <c r="B225" s="1">
        <v>46113</v>
      </c>
      <c r="C225" t="s">
        <v>5</v>
      </c>
      <c r="E225">
        <v>88.2</v>
      </c>
      <c r="F225" t="s">
        <v>623</v>
      </c>
      <c r="H225" s="58" t="s">
        <v>645</v>
      </c>
      <c r="J225">
        <f t="shared" si="8"/>
        <v>27.400000000000006</v>
      </c>
    </row>
    <row r="226" spans="1:10" x14ac:dyDescent="0.2">
      <c r="A226" s="57">
        <v>694</v>
      </c>
      <c r="B226" s="1">
        <v>46113</v>
      </c>
      <c r="C226" t="s">
        <v>7</v>
      </c>
      <c r="D226">
        <v>57.1</v>
      </c>
      <c r="F226" t="s">
        <v>647</v>
      </c>
      <c r="G226" t="s">
        <v>37</v>
      </c>
      <c r="H226" s="58"/>
    </row>
    <row r="227" spans="1:10" x14ac:dyDescent="0.2">
      <c r="A227" s="57">
        <v>695</v>
      </c>
      <c r="B227" s="1">
        <v>46113</v>
      </c>
      <c r="C227" t="s">
        <v>5</v>
      </c>
      <c r="E227">
        <v>91.9</v>
      </c>
      <c r="F227" t="s">
        <v>623</v>
      </c>
      <c r="H227" s="58" t="s">
        <v>648</v>
      </c>
      <c r="J227">
        <f t="shared" si="8"/>
        <v>34.800000000000004</v>
      </c>
    </row>
    <row r="228" spans="1:10" x14ac:dyDescent="0.2">
      <c r="A228" s="57">
        <v>697</v>
      </c>
      <c r="B228" s="1">
        <v>46113</v>
      </c>
      <c r="C228" t="s">
        <v>7</v>
      </c>
      <c r="D228">
        <v>89.9</v>
      </c>
      <c r="F228" t="s">
        <v>651</v>
      </c>
      <c r="H228" s="58"/>
    </row>
    <row r="229" spans="1:10" x14ac:dyDescent="0.2">
      <c r="A229" s="57">
        <v>698</v>
      </c>
      <c r="B229" s="1">
        <v>46113</v>
      </c>
      <c r="C229" t="s">
        <v>5</v>
      </c>
      <c r="E229">
        <v>87.9</v>
      </c>
      <c r="F229" t="s">
        <v>654</v>
      </c>
      <c r="H229" s="58" t="s">
        <v>653</v>
      </c>
      <c r="J229">
        <f t="shared" si="8"/>
        <v>-2</v>
      </c>
    </row>
    <row r="230" spans="1:10" x14ac:dyDescent="0.2">
      <c r="A230" s="9">
        <v>700</v>
      </c>
      <c r="B230" s="1">
        <v>46113</v>
      </c>
      <c r="C230" t="s">
        <v>7</v>
      </c>
      <c r="D230">
        <v>86.2</v>
      </c>
      <c r="F230" t="s">
        <v>624</v>
      </c>
      <c r="H230" s="10"/>
    </row>
    <row r="231" spans="1:10" ht="17" thickBot="1" x14ac:dyDescent="0.25">
      <c r="A231" s="11">
        <v>701</v>
      </c>
      <c r="B231" s="12">
        <v>46113</v>
      </c>
      <c r="C231" s="13" t="s">
        <v>5</v>
      </c>
      <c r="D231" s="13"/>
      <c r="E231" s="13">
        <v>86.5</v>
      </c>
      <c r="F231" s="13" t="s">
        <v>622</v>
      </c>
      <c r="G231" s="13"/>
      <c r="H231" s="14" t="s">
        <v>657</v>
      </c>
      <c r="J231">
        <f t="shared" si="8"/>
        <v>0.29999999999999716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E4FB-71E5-904D-BC1F-842D4A8DD65B}">
  <dimension ref="A1:U366"/>
  <sheetViews>
    <sheetView zoomScale="125" workbookViewId="0">
      <pane ySplit="1" topLeftCell="A331" activePane="bottomLeft" state="frozen"/>
      <selection pane="bottomLeft" activeCell="W26" sqref="W26"/>
    </sheetView>
  </sheetViews>
  <sheetFormatPr baseColWidth="10" defaultRowHeight="16" x14ac:dyDescent="0.2"/>
  <cols>
    <col min="5" max="5" width="13.5" customWidth="1"/>
  </cols>
  <sheetData>
    <row r="1" spans="1:21" x14ac:dyDescent="0.2">
      <c r="A1" t="s">
        <v>4</v>
      </c>
      <c r="B1" t="s">
        <v>176</v>
      </c>
      <c r="C1" t="s">
        <v>174</v>
      </c>
      <c r="D1" t="s">
        <v>175</v>
      </c>
      <c r="E1" t="s">
        <v>179</v>
      </c>
      <c r="F1" t="s">
        <v>191</v>
      </c>
      <c r="G1" t="s">
        <v>86</v>
      </c>
      <c r="H1" t="s">
        <v>87</v>
      </c>
      <c r="I1" t="s">
        <v>52</v>
      </c>
      <c r="K1" t="s">
        <v>177</v>
      </c>
      <c r="L1" t="s">
        <v>178</v>
      </c>
    </row>
    <row r="2" spans="1:21" x14ac:dyDescent="0.2">
      <c r="A2" s="1">
        <v>45462</v>
      </c>
      <c r="B2" t="s">
        <v>192</v>
      </c>
      <c r="C2" t="s">
        <v>193</v>
      </c>
      <c r="D2">
        <v>51</v>
      </c>
      <c r="E2">
        <v>1</v>
      </c>
      <c r="F2">
        <v>1</v>
      </c>
      <c r="G2">
        <v>0</v>
      </c>
      <c r="H2">
        <v>0</v>
      </c>
      <c r="I2">
        <v>0</v>
      </c>
      <c r="K2" t="s">
        <v>25</v>
      </c>
      <c r="L2">
        <f>SUM(E2:E6)</f>
        <v>7</v>
      </c>
      <c r="M2" t="s">
        <v>52</v>
      </c>
      <c r="N2">
        <f>SUM(I2:I6)</f>
        <v>0</v>
      </c>
      <c r="O2" t="s">
        <v>195</v>
      </c>
      <c r="P2">
        <f>COUNTIF(C2:C6,O2)</f>
        <v>2</v>
      </c>
      <c r="R2" t="s">
        <v>204</v>
      </c>
      <c r="S2" s="20">
        <f>AVERAGE(D2:D450)</f>
        <v>40.775342465753425</v>
      </c>
    </row>
    <row r="3" spans="1:21" x14ac:dyDescent="0.2">
      <c r="A3" s="1">
        <v>45462</v>
      </c>
      <c r="B3" t="s">
        <v>192</v>
      </c>
      <c r="C3" t="s">
        <v>193</v>
      </c>
      <c r="D3">
        <v>43</v>
      </c>
      <c r="E3">
        <v>2</v>
      </c>
      <c r="F3">
        <v>1</v>
      </c>
      <c r="G3">
        <v>0</v>
      </c>
      <c r="H3">
        <v>1</v>
      </c>
      <c r="I3">
        <v>0</v>
      </c>
      <c r="K3" t="s">
        <v>191</v>
      </c>
      <c r="L3">
        <f>SUM(F2:F6)</f>
        <v>6</v>
      </c>
      <c r="M3" t="s">
        <v>192</v>
      </c>
      <c r="N3">
        <f>COUNTIF(B2:B6,M3)</f>
        <v>5</v>
      </c>
      <c r="O3" t="s">
        <v>204</v>
      </c>
      <c r="P3">
        <f>AVERAGE(D2:D6)</f>
        <v>39.799999999999997</v>
      </c>
    </row>
    <row r="4" spans="1:21" x14ac:dyDescent="0.2">
      <c r="A4" s="1">
        <v>45462</v>
      </c>
      <c r="B4" t="s">
        <v>192</v>
      </c>
      <c r="C4" t="s">
        <v>195</v>
      </c>
      <c r="D4">
        <v>36</v>
      </c>
      <c r="E4">
        <v>1</v>
      </c>
      <c r="F4">
        <v>1</v>
      </c>
      <c r="G4">
        <v>0</v>
      </c>
      <c r="H4">
        <v>0</v>
      </c>
      <c r="I4">
        <v>0</v>
      </c>
      <c r="K4" t="s">
        <v>86</v>
      </c>
      <c r="L4">
        <f>SUM(G2:G6)</f>
        <v>0</v>
      </c>
      <c r="M4" t="s">
        <v>194</v>
      </c>
      <c r="N4">
        <f>COUNTIF(B2:B6,M4)</f>
        <v>0</v>
      </c>
      <c r="R4" t="s">
        <v>126</v>
      </c>
      <c r="S4" t="s">
        <v>127</v>
      </c>
      <c r="T4" t="s">
        <v>128</v>
      </c>
      <c r="U4" t="s">
        <v>45</v>
      </c>
    </row>
    <row r="5" spans="1:21" x14ac:dyDescent="0.2">
      <c r="A5" s="1">
        <v>45462</v>
      </c>
      <c r="B5" t="s">
        <v>192</v>
      </c>
      <c r="C5" t="s">
        <v>193</v>
      </c>
      <c r="D5">
        <v>33</v>
      </c>
      <c r="E5">
        <v>2</v>
      </c>
      <c r="F5">
        <v>2</v>
      </c>
      <c r="G5">
        <v>0</v>
      </c>
      <c r="H5">
        <v>0</v>
      </c>
      <c r="I5">
        <v>0</v>
      </c>
      <c r="K5" t="s">
        <v>87</v>
      </c>
      <c r="L5">
        <f>SUM(H2:H6)</f>
        <v>1</v>
      </c>
      <c r="M5" t="s">
        <v>193</v>
      </c>
      <c r="N5">
        <f>COUNTIF(C2:C6,M5)</f>
        <v>3</v>
      </c>
      <c r="R5" t="s">
        <v>209</v>
      </c>
      <c r="S5">
        <v>18</v>
      </c>
      <c r="T5" cm="1">
        <f t="array" ref="T5:T15">FREQUENCY(D2:D450,S5:S14)</f>
        <v>1</v>
      </c>
      <c r="U5" s="19">
        <f t="shared" ref="U5:U14" si="0">(T5/T$16)*100</f>
        <v>0.27397260273972601</v>
      </c>
    </row>
    <row r="6" spans="1:21" x14ac:dyDescent="0.2">
      <c r="A6" s="33">
        <v>45462</v>
      </c>
      <c r="B6" s="34" t="s">
        <v>192</v>
      </c>
      <c r="C6" s="34" t="s">
        <v>195</v>
      </c>
      <c r="D6" s="34">
        <v>36</v>
      </c>
      <c r="E6" s="34">
        <v>1</v>
      </c>
      <c r="F6" s="34">
        <v>1</v>
      </c>
      <c r="G6" s="34">
        <v>0</v>
      </c>
      <c r="H6" s="34">
        <v>0</v>
      </c>
      <c r="I6" s="34">
        <v>0</v>
      </c>
      <c r="J6" s="34"/>
      <c r="K6" s="34"/>
      <c r="L6" s="34"/>
      <c r="M6" s="34"/>
      <c r="N6" s="34"/>
      <c r="O6" s="34"/>
      <c r="P6" s="34"/>
      <c r="R6" s="31" t="s">
        <v>205</v>
      </c>
      <c r="S6">
        <v>25</v>
      </c>
      <c r="T6">
        <v>28</v>
      </c>
      <c r="U6" s="19">
        <f t="shared" si="0"/>
        <v>7.6712328767123292</v>
      </c>
    </row>
    <row r="7" spans="1:21" x14ac:dyDescent="0.2">
      <c r="A7" s="1">
        <v>45483</v>
      </c>
      <c r="B7" t="s">
        <v>192</v>
      </c>
      <c r="C7" t="s">
        <v>193</v>
      </c>
      <c r="D7">
        <v>33</v>
      </c>
      <c r="E7">
        <v>1</v>
      </c>
      <c r="F7">
        <v>1</v>
      </c>
      <c r="G7">
        <v>0</v>
      </c>
      <c r="H7">
        <v>0</v>
      </c>
      <c r="I7">
        <v>0</v>
      </c>
      <c r="R7" t="s">
        <v>206</v>
      </c>
      <c r="S7">
        <v>30</v>
      </c>
      <c r="T7">
        <v>20</v>
      </c>
      <c r="U7" s="19">
        <f t="shared" si="0"/>
        <v>5.4794520547945202</v>
      </c>
    </row>
    <row r="8" spans="1:21" x14ac:dyDescent="0.2">
      <c r="A8" s="1">
        <v>45483</v>
      </c>
      <c r="B8" t="s">
        <v>194</v>
      </c>
      <c r="C8" t="s">
        <v>195</v>
      </c>
      <c r="D8">
        <v>25</v>
      </c>
      <c r="E8">
        <v>1</v>
      </c>
      <c r="F8">
        <v>1</v>
      </c>
      <c r="G8">
        <v>0</v>
      </c>
      <c r="H8">
        <v>0</v>
      </c>
      <c r="I8">
        <v>0</v>
      </c>
      <c r="K8" t="s">
        <v>25</v>
      </c>
      <c r="L8">
        <f>SUM(E7:E21)</f>
        <v>19</v>
      </c>
      <c r="M8" t="s">
        <v>52</v>
      </c>
      <c r="N8">
        <f>SUM(I7:I21)</f>
        <v>0</v>
      </c>
      <c r="O8" t="s">
        <v>195</v>
      </c>
      <c r="P8">
        <f>COUNTIF(C7:C21,O8)</f>
        <v>5</v>
      </c>
      <c r="R8" t="s">
        <v>207</v>
      </c>
      <c r="S8">
        <v>35</v>
      </c>
      <c r="T8">
        <v>59</v>
      </c>
      <c r="U8" s="19">
        <f t="shared" si="0"/>
        <v>16.164383561643834</v>
      </c>
    </row>
    <row r="9" spans="1:21" x14ac:dyDescent="0.2">
      <c r="A9" s="1">
        <v>45483</v>
      </c>
      <c r="B9" t="s">
        <v>194</v>
      </c>
      <c r="C9" t="s">
        <v>195</v>
      </c>
      <c r="D9">
        <v>25</v>
      </c>
      <c r="E9">
        <v>0</v>
      </c>
      <c r="F9">
        <v>0</v>
      </c>
      <c r="G9">
        <v>0</v>
      </c>
      <c r="H9">
        <v>0</v>
      </c>
      <c r="I9">
        <v>0</v>
      </c>
      <c r="J9" t="s">
        <v>196</v>
      </c>
      <c r="K9" t="s">
        <v>191</v>
      </c>
      <c r="L9">
        <f>SUM(F7:F21)</f>
        <v>12</v>
      </c>
      <c r="M9" t="s">
        <v>192</v>
      </c>
      <c r="N9">
        <f>COUNTIF(B7:B21,M9)</f>
        <v>5</v>
      </c>
      <c r="O9" t="s">
        <v>204</v>
      </c>
      <c r="P9" s="20">
        <f>AVERAGE(D7:D21)</f>
        <v>36.06666666666667</v>
      </c>
      <c r="R9" t="s">
        <v>208</v>
      </c>
      <c r="S9">
        <v>40</v>
      </c>
      <c r="T9">
        <v>74</v>
      </c>
      <c r="U9" s="19">
        <f t="shared" si="0"/>
        <v>20.273972602739725</v>
      </c>
    </row>
    <row r="10" spans="1:21" x14ac:dyDescent="0.2">
      <c r="A10" s="1">
        <v>45483</v>
      </c>
      <c r="B10" t="s">
        <v>194</v>
      </c>
      <c r="C10" t="s">
        <v>193</v>
      </c>
      <c r="D10">
        <v>45</v>
      </c>
      <c r="E10">
        <v>2</v>
      </c>
      <c r="F10">
        <v>1</v>
      </c>
      <c r="G10">
        <v>1</v>
      </c>
      <c r="H10">
        <v>0</v>
      </c>
      <c r="I10">
        <v>0</v>
      </c>
      <c r="K10" t="s">
        <v>86</v>
      </c>
      <c r="L10">
        <f>SUM(G7:G21)</f>
        <v>5</v>
      </c>
      <c r="M10" t="s">
        <v>194</v>
      </c>
      <c r="N10">
        <f>COUNTIF(B7:B21,M10)</f>
        <v>10</v>
      </c>
      <c r="R10" t="s">
        <v>254</v>
      </c>
      <c r="S10">
        <v>45</v>
      </c>
      <c r="T10">
        <v>79</v>
      </c>
      <c r="U10" s="19">
        <f t="shared" si="0"/>
        <v>21.643835616438356</v>
      </c>
    </row>
    <row r="11" spans="1:21" x14ac:dyDescent="0.2">
      <c r="A11" s="1">
        <v>45483</v>
      </c>
      <c r="B11" t="s">
        <v>194</v>
      </c>
      <c r="C11" t="s">
        <v>193</v>
      </c>
      <c r="D11">
        <v>43</v>
      </c>
      <c r="E11">
        <v>2</v>
      </c>
      <c r="F11">
        <v>1</v>
      </c>
      <c r="G11">
        <v>1</v>
      </c>
      <c r="H11">
        <v>0</v>
      </c>
      <c r="I11">
        <v>0</v>
      </c>
      <c r="J11" t="s">
        <v>197</v>
      </c>
      <c r="K11" t="s">
        <v>87</v>
      </c>
      <c r="L11">
        <f>SUM(H7:H21)</f>
        <v>2</v>
      </c>
      <c r="M11" t="s">
        <v>193</v>
      </c>
      <c r="N11">
        <f>COUNTIF(C7:C21,M11)</f>
        <v>10</v>
      </c>
      <c r="R11" t="s">
        <v>255</v>
      </c>
      <c r="S11">
        <v>50</v>
      </c>
      <c r="T11">
        <v>41</v>
      </c>
      <c r="U11" s="19">
        <f t="shared" si="0"/>
        <v>11.232876712328768</v>
      </c>
    </row>
    <row r="12" spans="1:21" x14ac:dyDescent="0.2">
      <c r="A12" s="1">
        <v>45483</v>
      </c>
      <c r="B12" t="s">
        <v>194</v>
      </c>
      <c r="C12" t="s">
        <v>193</v>
      </c>
      <c r="D12">
        <v>36</v>
      </c>
      <c r="E12">
        <v>1</v>
      </c>
      <c r="F12">
        <v>1</v>
      </c>
      <c r="G12">
        <v>0</v>
      </c>
      <c r="H12">
        <v>0</v>
      </c>
      <c r="I12">
        <v>0</v>
      </c>
      <c r="R12" t="s">
        <v>256</v>
      </c>
      <c r="S12">
        <v>55</v>
      </c>
      <c r="T12">
        <v>44</v>
      </c>
      <c r="U12" s="19">
        <f t="shared" si="0"/>
        <v>12.054794520547945</v>
      </c>
    </row>
    <row r="13" spans="1:21" x14ac:dyDescent="0.2">
      <c r="A13" s="1">
        <v>45483</v>
      </c>
      <c r="B13" t="s">
        <v>194</v>
      </c>
      <c r="C13" t="s">
        <v>195</v>
      </c>
      <c r="D13">
        <v>30</v>
      </c>
      <c r="E13">
        <v>1</v>
      </c>
      <c r="F13">
        <v>1</v>
      </c>
      <c r="G13">
        <v>0</v>
      </c>
      <c r="H13">
        <v>0</v>
      </c>
      <c r="I13">
        <v>0</v>
      </c>
      <c r="J13" t="s">
        <v>198</v>
      </c>
      <c r="R13" t="s">
        <v>257</v>
      </c>
      <c r="S13">
        <v>60</v>
      </c>
      <c r="T13">
        <v>12</v>
      </c>
      <c r="U13" s="19">
        <f t="shared" si="0"/>
        <v>3.2876712328767121</v>
      </c>
    </row>
    <row r="14" spans="1:21" x14ac:dyDescent="0.2">
      <c r="A14" s="1">
        <v>45483</v>
      </c>
      <c r="B14" t="s">
        <v>194</v>
      </c>
      <c r="C14" t="s">
        <v>195</v>
      </c>
      <c r="D14">
        <v>36</v>
      </c>
      <c r="E14">
        <v>2</v>
      </c>
      <c r="F14">
        <v>1</v>
      </c>
      <c r="G14">
        <v>0</v>
      </c>
      <c r="H14">
        <v>1</v>
      </c>
      <c r="I14">
        <v>0</v>
      </c>
      <c r="R14" t="s">
        <v>140</v>
      </c>
      <c r="S14">
        <v>100</v>
      </c>
      <c r="T14">
        <v>7</v>
      </c>
      <c r="U14" s="19">
        <f t="shared" si="0"/>
        <v>1.9178082191780823</v>
      </c>
    </row>
    <row r="15" spans="1:21" x14ac:dyDescent="0.2">
      <c r="A15" s="1">
        <v>45483</v>
      </c>
      <c r="B15" t="s">
        <v>194</v>
      </c>
      <c r="C15" t="s">
        <v>193</v>
      </c>
      <c r="D15">
        <v>37</v>
      </c>
      <c r="E15">
        <v>1</v>
      </c>
      <c r="F15">
        <v>1</v>
      </c>
      <c r="G15">
        <v>0</v>
      </c>
      <c r="H15">
        <v>0</v>
      </c>
      <c r="I15">
        <v>0</v>
      </c>
      <c r="T15">
        <v>0</v>
      </c>
    </row>
    <row r="16" spans="1:21" x14ac:dyDescent="0.2">
      <c r="A16" s="1">
        <v>45483</v>
      </c>
      <c r="B16" t="s">
        <v>192</v>
      </c>
      <c r="C16" t="s">
        <v>193</v>
      </c>
      <c r="D16">
        <v>35</v>
      </c>
      <c r="E16">
        <v>2</v>
      </c>
      <c r="F16">
        <v>1</v>
      </c>
      <c r="G16">
        <v>1</v>
      </c>
      <c r="H16">
        <v>0</v>
      </c>
      <c r="I16">
        <v>0</v>
      </c>
      <c r="T16">
        <f>SUM(T5:T14)</f>
        <v>365</v>
      </c>
      <c r="U16" s="19">
        <f>SUM(U5:U14)</f>
        <v>100.00000000000001</v>
      </c>
    </row>
    <row r="17" spans="1:16" x14ac:dyDescent="0.2">
      <c r="A17" s="1">
        <v>45483</v>
      </c>
      <c r="B17" t="s">
        <v>194</v>
      </c>
      <c r="C17" t="s">
        <v>195</v>
      </c>
      <c r="D17">
        <v>45</v>
      </c>
      <c r="E17">
        <v>2</v>
      </c>
      <c r="F17">
        <v>1</v>
      </c>
      <c r="G17">
        <v>1</v>
      </c>
      <c r="H17">
        <v>0</v>
      </c>
      <c r="I17">
        <v>0</v>
      </c>
    </row>
    <row r="18" spans="1:16" x14ac:dyDescent="0.2">
      <c r="A18" s="1">
        <v>45483</v>
      </c>
      <c r="B18" t="s">
        <v>192</v>
      </c>
      <c r="C18" t="s">
        <v>193</v>
      </c>
      <c r="D18">
        <v>25</v>
      </c>
      <c r="E18">
        <v>1</v>
      </c>
      <c r="F18">
        <v>0</v>
      </c>
      <c r="G18">
        <v>0</v>
      </c>
      <c r="H18">
        <v>1</v>
      </c>
      <c r="I18">
        <v>0</v>
      </c>
    </row>
    <row r="19" spans="1:16" x14ac:dyDescent="0.2">
      <c r="A19" s="1">
        <v>45483</v>
      </c>
      <c r="B19" t="s">
        <v>192</v>
      </c>
      <c r="C19" t="s">
        <v>193</v>
      </c>
      <c r="D19">
        <v>51</v>
      </c>
      <c r="E19">
        <v>2</v>
      </c>
      <c r="F19">
        <v>1</v>
      </c>
      <c r="G19">
        <v>1</v>
      </c>
      <c r="H19">
        <v>0</v>
      </c>
      <c r="I19">
        <v>0</v>
      </c>
    </row>
    <row r="20" spans="1:16" x14ac:dyDescent="0.2">
      <c r="A20" s="1">
        <v>45483</v>
      </c>
      <c r="B20" t="s">
        <v>192</v>
      </c>
      <c r="C20" t="s">
        <v>193</v>
      </c>
      <c r="D20">
        <v>42</v>
      </c>
      <c r="E20">
        <v>0</v>
      </c>
      <c r="F20">
        <v>0</v>
      </c>
      <c r="G20">
        <v>0</v>
      </c>
      <c r="H20">
        <v>0</v>
      </c>
      <c r="I20">
        <v>0</v>
      </c>
      <c r="J20" t="s">
        <v>199</v>
      </c>
    </row>
    <row r="21" spans="1:16" x14ac:dyDescent="0.2">
      <c r="A21" s="33">
        <v>45483</v>
      </c>
      <c r="B21" s="34" t="s">
        <v>194</v>
      </c>
      <c r="C21" s="34" t="s">
        <v>193</v>
      </c>
      <c r="D21" s="34">
        <v>33</v>
      </c>
      <c r="E21" s="34">
        <v>1</v>
      </c>
      <c r="F21" s="34">
        <v>1</v>
      </c>
      <c r="G21" s="34">
        <v>0</v>
      </c>
      <c r="H21" s="34">
        <v>0</v>
      </c>
      <c r="I21" s="34">
        <v>0</v>
      </c>
      <c r="J21" s="34"/>
      <c r="K21" s="34"/>
      <c r="L21" s="34"/>
      <c r="M21" s="34"/>
      <c r="N21" s="34"/>
      <c r="O21" s="34"/>
      <c r="P21" s="34"/>
    </row>
    <row r="22" spans="1:16" x14ac:dyDescent="0.2">
      <c r="A22" s="1">
        <v>45518</v>
      </c>
      <c r="B22" t="s">
        <v>192</v>
      </c>
      <c r="C22" t="s">
        <v>195</v>
      </c>
      <c r="D22">
        <v>45</v>
      </c>
      <c r="E22">
        <v>1</v>
      </c>
      <c r="F22">
        <v>0</v>
      </c>
      <c r="G22">
        <v>0</v>
      </c>
      <c r="H22">
        <v>1</v>
      </c>
      <c r="I22">
        <v>0</v>
      </c>
    </row>
    <row r="23" spans="1:16" x14ac:dyDescent="0.2">
      <c r="A23" s="1">
        <v>45518</v>
      </c>
      <c r="B23" t="s">
        <v>194</v>
      </c>
      <c r="C23" t="s">
        <v>193</v>
      </c>
      <c r="D23">
        <v>30</v>
      </c>
      <c r="E23">
        <v>1</v>
      </c>
      <c r="F23">
        <v>1</v>
      </c>
      <c r="G23">
        <v>0</v>
      </c>
      <c r="H23">
        <v>0</v>
      </c>
      <c r="I23">
        <v>0</v>
      </c>
      <c r="K23" t="s">
        <v>25</v>
      </c>
      <c r="L23">
        <f>SUM(E22:E33)</f>
        <v>14</v>
      </c>
      <c r="M23" t="s">
        <v>52</v>
      </c>
      <c r="N23">
        <f>SUM(I22:I33)</f>
        <v>0</v>
      </c>
      <c r="O23" t="s">
        <v>195</v>
      </c>
      <c r="P23">
        <f>COUNTIF(C22:C33,O23)</f>
        <v>3</v>
      </c>
    </row>
    <row r="24" spans="1:16" x14ac:dyDescent="0.2">
      <c r="A24" s="1">
        <v>45518</v>
      </c>
      <c r="B24" t="s">
        <v>192</v>
      </c>
      <c r="C24" t="s">
        <v>193</v>
      </c>
      <c r="D24">
        <v>52</v>
      </c>
      <c r="E24">
        <v>1</v>
      </c>
      <c r="F24">
        <v>1</v>
      </c>
      <c r="G24">
        <v>0</v>
      </c>
      <c r="H24">
        <v>0</v>
      </c>
      <c r="I24">
        <v>0</v>
      </c>
      <c r="K24" t="s">
        <v>191</v>
      </c>
      <c r="L24">
        <f>SUM(F22:F33)</f>
        <v>9</v>
      </c>
      <c r="M24" t="s">
        <v>192</v>
      </c>
      <c r="N24">
        <f>COUNTIF(B22:B33,M24)</f>
        <v>7</v>
      </c>
      <c r="O24" t="s">
        <v>204</v>
      </c>
      <c r="P24" s="20">
        <f>AVERAGE(D22:D33)</f>
        <v>43.916666666666664</v>
      </c>
    </row>
    <row r="25" spans="1:16" x14ac:dyDescent="0.2">
      <c r="A25" s="1">
        <v>45518</v>
      </c>
      <c r="B25" t="s">
        <v>194</v>
      </c>
      <c r="C25" t="s">
        <v>193</v>
      </c>
      <c r="D25">
        <v>33</v>
      </c>
      <c r="E25">
        <v>1</v>
      </c>
      <c r="F25">
        <v>1</v>
      </c>
      <c r="G25">
        <v>0</v>
      </c>
      <c r="H25">
        <v>0</v>
      </c>
      <c r="I25">
        <v>0</v>
      </c>
      <c r="K25" t="s">
        <v>86</v>
      </c>
      <c r="L25">
        <f>SUM(G22:G33)</f>
        <v>3</v>
      </c>
      <c r="M25" t="s">
        <v>194</v>
      </c>
      <c r="N25">
        <f>COUNTIF(B22:B33,M25)</f>
        <v>5</v>
      </c>
    </row>
    <row r="26" spans="1:16" x14ac:dyDescent="0.2">
      <c r="A26" s="1">
        <v>45518</v>
      </c>
      <c r="B26" t="s">
        <v>192</v>
      </c>
      <c r="C26" t="s">
        <v>193</v>
      </c>
      <c r="D26">
        <v>44</v>
      </c>
      <c r="E26">
        <v>1</v>
      </c>
      <c r="F26">
        <v>0</v>
      </c>
      <c r="G26">
        <v>0</v>
      </c>
      <c r="H26">
        <v>1</v>
      </c>
      <c r="I26">
        <v>0</v>
      </c>
      <c r="K26" t="s">
        <v>87</v>
      </c>
      <c r="L26">
        <f>SUM(H22:H33)</f>
        <v>2</v>
      </c>
      <c r="M26" t="s">
        <v>193</v>
      </c>
      <c r="N26">
        <f>COUNTIF(C22:C33,M26)</f>
        <v>9</v>
      </c>
    </row>
    <row r="27" spans="1:16" x14ac:dyDescent="0.2">
      <c r="A27" s="1">
        <v>45518</v>
      </c>
      <c r="B27" t="s">
        <v>192</v>
      </c>
      <c r="C27" t="s">
        <v>195</v>
      </c>
      <c r="D27">
        <v>43</v>
      </c>
      <c r="E27">
        <v>1</v>
      </c>
      <c r="F27">
        <v>0</v>
      </c>
      <c r="G27">
        <v>1</v>
      </c>
      <c r="H27">
        <v>0</v>
      </c>
      <c r="I27">
        <v>0</v>
      </c>
    </row>
    <row r="28" spans="1:16" x14ac:dyDescent="0.2">
      <c r="A28" s="1">
        <v>45518</v>
      </c>
      <c r="B28" t="s">
        <v>194</v>
      </c>
      <c r="C28" t="s">
        <v>193</v>
      </c>
      <c r="D28">
        <v>30</v>
      </c>
      <c r="E28">
        <v>1</v>
      </c>
      <c r="F28">
        <v>1</v>
      </c>
      <c r="G28">
        <v>0</v>
      </c>
      <c r="H28">
        <v>0</v>
      </c>
      <c r="I28">
        <v>0</v>
      </c>
    </row>
    <row r="29" spans="1:16" x14ac:dyDescent="0.2">
      <c r="A29" s="1">
        <v>45518</v>
      </c>
      <c r="B29" t="s">
        <v>192</v>
      </c>
      <c r="C29" t="s">
        <v>195</v>
      </c>
      <c r="D29">
        <v>63</v>
      </c>
      <c r="E29">
        <v>1</v>
      </c>
      <c r="F29">
        <v>1</v>
      </c>
      <c r="G29">
        <v>0</v>
      </c>
      <c r="H29">
        <v>0</v>
      </c>
      <c r="I29">
        <v>0</v>
      </c>
    </row>
    <row r="30" spans="1:16" x14ac:dyDescent="0.2">
      <c r="A30" s="1">
        <v>45518</v>
      </c>
      <c r="B30" t="s">
        <v>192</v>
      </c>
      <c r="C30" t="s">
        <v>193</v>
      </c>
      <c r="D30">
        <v>32</v>
      </c>
      <c r="E30">
        <v>2</v>
      </c>
      <c r="F30">
        <v>1</v>
      </c>
      <c r="G30">
        <v>1</v>
      </c>
      <c r="H30">
        <v>0</v>
      </c>
      <c r="I30">
        <v>0</v>
      </c>
    </row>
    <row r="31" spans="1:16" x14ac:dyDescent="0.2">
      <c r="A31" s="1">
        <v>45518</v>
      </c>
      <c r="B31" t="s">
        <v>192</v>
      </c>
      <c r="C31" t="s">
        <v>193</v>
      </c>
      <c r="D31">
        <v>48</v>
      </c>
      <c r="E31">
        <v>2</v>
      </c>
      <c r="F31">
        <v>1</v>
      </c>
      <c r="G31">
        <v>1</v>
      </c>
      <c r="H31">
        <v>0</v>
      </c>
      <c r="I31">
        <v>0</v>
      </c>
    </row>
    <row r="32" spans="1:16" x14ac:dyDescent="0.2">
      <c r="A32" s="1">
        <v>45518</v>
      </c>
      <c r="B32" t="s">
        <v>194</v>
      </c>
      <c r="C32" t="s">
        <v>193</v>
      </c>
      <c r="D32">
        <v>52</v>
      </c>
      <c r="E32">
        <v>1</v>
      </c>
      <c r="F32">
        <v>1</v>
      </c>
      <c r="G32">
        <v>0</v>
      </c>
      <c r="H32">
        <v>0</v>
      </c>
      <c r="I32">
        <v>0</v>
      </c>
    </row>
    <row r="33" spans="1:16" x14ac:dyDescent="0.2">
      <c r="A33" s="33">
        <v>45518</v>
      </c>
      <c r="B33" s="34" t="s">
        <v>194</v>
      </c>
      <c r="C33" s="34" t="s">
        <v>193</v>
      </c>
      <c r="D33" s="34">
        <v>55</v>
      </c>
      <c r="E33" s="34">
        <v>1</v>
      </c>
      <c r="F33" s="34">
        <v>1</v>
      </c>
      <c r="G33" s="34">
        <v>0</v>
      </c>
      <c r="H33" s="34">
        <v>0</v>
      </c>
      <c r="I33" s="34">
        <v>0</v>
      </c>
      <c r="J33" s="34"/>
      <c r="K33" s="34"/>
      <c r="L33" s="34"/>
      <c r="M33" s="34"/>
      <c r="N33" s="34"/>
      <c r="O33" s="34"/>
      <c r="P33" s="34"/>
    </row>
    <row r="34" spans="1:16" x14ac:dyDescent="0.2">
      <c r="A34" s="1">
        <v>45553</v>
      </c>
      <c r="B34" t="s">
        <v>192</v>
      </c>
      <c r="C34" t="s">
        <v>193</v>
      </c>
      <c r="D34">
        <v>47</v>
      </c>
      <c r="E34">
        <v>1</v>
      </c>
      <c r="F34">
        <v>1</v>
      </c>
      <c r="G34">
        <v>0</v>
      </c>
      <c r="H34">
        <v>0</v>
      </c>
      <c r="I34">
        <v>0</v>
      </c>
    </row>
    <row r="35" spans="1:16" x14ac:dyDescent="0.2">
      <c r="A35" s="1">
        <v>45553</v>
      </c>
      <c r="B35" t="s">
        <v>192</v>
      </c>
      <c r="C35" t="s">
        <v>193</v>
      </c>
      <c r="D35">
        <v>39</v>
      </c>
      <c r="E35">
        <v>2</v>
      </c>
      <c r="F35">
        <v>1</v>
      </c>
      <c r="G35">
        <v>1</v>
      </c>
      <c r="H35">
        <v>0</v>
      </c>
      <c r="I35">
        <v>0</v>
      </c>
      <c r="K35" t="s">
        <v>25</v>
      </c>
      <c r="L35">
        <f>SUM(E34:E48)</f>
        <v>20</v>
      </c>
      <c r="M35" t="s">
        <v>52</v>
      </c>
      <c r="N35">
        <f>SUM(I34:I48)</f>
        <v>0</v>
      </c>
      <c r="O35" t="s">
        <v>195</v>
      </c>
      <c r="P35">
        <f>COUNTIF(C34:C48,O35)</f>
        <v>3</v>
      </c>
    </row>
    <row r="36" spans="1:16" x14ac:dyDescent="0.2">
      <c r="A36" s="1">
        <v>45553</v>
      </c>
      <c r="B36" t="s">
        <v>192</v>
      </c>
      <c r="C36" t="s">
        <v>193</v>
      </c>
      <c r="D36">
        <v>53</v>
      </c>
      <c r="E36">
        <v>1</v>
      </c>
      <c r="F36">
        <v>1</v>
      </c>
      <c r="G36">
        <v>0</v>
      </c>
      <c r="H36">
        <v>0</v>
      </c>
      <c r="I36">
        <v>0</v>
      </c>
      <c r="K36" t="s">
        <v>191</v>
      </c>
      <c r="L36">
        <f>SUM(F34:F48)</f>
        <v>17</v>
      </c>
      <c r="M36" t="s">
        <v>192</v>
      </c>
      <c r="N36">
        <f>COUNTIF(B34:B48,M36)</f>
        <v>7</v>
      </c>
      <c r="O36" t="s">
        <v>204</v>
      </c>
      <c r="P36" s="20">
        <f>AVERAGE(D34:D48)</f>
        <v>42.333333333333336</v>
      </c>
    </row>
    <row r="37" spans="1:16" x14ac:dyDescent="0.2">
      <c r="A37" s="1">
        <v>45553</v>
      </c>
      <c r="B37" t="s">
        <v>194</v>
      </c>
      <c r="C37" t="s">
        <v>195</v>
      </c>
      <c r="D37">
        <v>63</v>
      </c>
      <c r="E37">
        <v>1</v>
      </c>
      <c r="F37">
        <v>1</v>
      </c>
      <c r="G37">
        <v>0</v>
      </c>
      <c r="H37">
        <v>0</v>
      </c>
      <c r="I37">
        <v>0</v>
      </c>
      <c r="K37" t="s">
        <v>86</v>
      </c>
      <c r="L37">
        <f>SUM(G34:G48)</f>
        <v>3</v>
      </c>
      <c r="M37" t="s">
        <v>194</v>
      </c>
      <c r="N37">
        <f>COUNTIF(B34:B48,M37)</f>
        <v>8</v>
      </c>
    </row>
    <row r="38" spans="1:16" x14ac:dyDescent="0.2">
      <c r="A38" s="1">
        <v>45553</v>
      </c>
      <c r="B38" t="s">
        <v>192</v>
      </c>
      <c r="C38" t="s">
        <v>193</v>
      </c>
      <c r="D38">
        <v>33</v>
      </c>
      <c r="E38">
        <v>1</v>
      </c>
      <c r="F38">
        <v>1</v>
      </c>
      <c r="G38">
        <v>0</v>
      </c>
      <c r="H38">
        <v>0</v>
      </c>
      <c r="I38">
        <v>0</v>
      </c>
      <c r="K38" t="s">
        <v>87</v>
      </c>
      <c r="L38">
        <f>SUM(H34:H48)</f>
        <v>0</v>
      </c>
      <c r="M38" t="s">
        <v>193</v>
      </c>
      <c r="N38">
        <f>COUNTIF(C34:C48,M38)</f>
        <v>12</v>
      </c>
    </row>
    <row r="39" spans="1:16" x14ac:dyDescent="0.2">
      <c r="A39" s="1">
        <v>45553</v>
      </c>
      <c r="B39" t="s">
        <v>194</v>
      </c>
      <c r="C39" t="s">
        <v>193</v>
      </c>
      <c r="D39">
        <v>43</v>
      </c>
      <c r="E39">
        <v>1</v>
      </c>
      <c r="F39">
        <v>1</v>
      </c>
      <c r="G39">
        <v>0</v>
      </c>
      <c r="H39">
        <v>0</v>
      </c>
      <c r="I39">
        <v>0</v>
      </c>
    </row>
    <row r="40" spans="1:16" x14ac:dyDescent="0.2">
      <c r="A40" s="1">
        <v>45553</v>
      </c>
      <c r="B40" t="s">
        <v>194</v>
      </c>
      <c r="C40" t="s">
        <v>193</v>
      </c>
      <c r="D40">
        <v>41</v>
      </c>
      <c r="E40">
        <v>2</v>
      </c>
      <c r="F40">
        <v>2</v>
      </c>
      <c r="G40">
        <v>0</v>
      </c>
      <c r="H40">
        <v>0</v>
      </c>
      <c r="I40">
        <v>0</v>
      </c>
    </row>
    <row r="41" spans="1:16" x14ac:dyDescent="0.2">
      <c r="A41" s="1">
        <v>45553</v>
      </c>
      <c r="B41" t="s">
        <v>192</v>
      </c>
      <c r="C41" t="s">
        <v>195</v>
      </c>
      <c r="D41">
        <v>32</v>
      </c>
      <c r="E41">
        <v>1</v>
      </c>
      <c r="F41">
        <v>1</v>
      </c>
      <c r="G41">
        <v>0</v>
      </c>
      <c r="H41">
        <v>0</v>
      </c>
      <c r="I41">
        <v>0</v>
      </c>
    </row>
    <row r="42" spans="1:16" x14ac:dyDescent="0.2">
      <c r="A42" s="1">
        <v>45553</v>
      </c>
      <c r="B42" t="s">
        <v>192</v>
      </c>
      <c r="C42" t="s">
        <v>193</v>
      </c>
      <c r="D42">
        <v>46</v>
      </c>
      <c r="E42">
        <v>2</v>
      </c>
      <c r="F42">
        <v>2</v>
      </c>
      <c r="G42">
        <v>0</v>
      </c>
      <c r="H42">
        <v>0</v>
      </c>
      <c r="I42">
        <v>0</v>
      </c>
    </row>
    <row r="43" spans="1:16" x14ac:dyDescent="0.2">
      <c r="A43" s="1">
        <v>45553</v>
      </c>
      <c r="B43" t="s">
        <v>194</v>
      </c>
      <c r="C43" t="s">
        <v>193</v>
      </c>
      <c r="D43">
        <v>37</v>
      </c>
      <c r="E43">
        <v>2</v>
      </c>
      <c r="F43">
        <v>1</v>
      </c>
      <c r="G43">
        <v>1</v>
      </c>
      <c r="H43">
        <v>0</v>
      </c>
      <c r="I43">
        <v>0</v>
      </c>
    </row>
    <row r="44" spans="1:16" x14ac:dyDescent="0.2">
      <c r="A44" s="1">
        <v>45553</v>
      </c>
      <c r="B44" t="s">
        <v>194</v>
      </c>
      <c r="C44" t="s">
        <v>195</v>
      </c>
      <c r="D44">
        <v>36</v>
      </c>
      <c r="E44">
        <v>1</v>
      </c>
      <c r="F44">
        <v>1</v>
      </c>
      <c r="G44">
        <v>0</v>
      </c>
      <c r="H44">
        <v>0</v>
      </c>
      <c r="I44">
        <v>0</v>
      </c>
    </row>
    <row r="45" spans="1:16" x14ac:dyDescent="0.2">
      <c r="A45" s="1">
        <v>45553</v>
      </c>
      <c r="B45" t="s">
        <v>192</v>
      </c>
      <c r="C45" t="s">
        <v>193</v>
      </c>
      <c r="D45">
        <v>40</v>
      </c>
      <c r="E45">
        <v>2</v>
      </c>
      <c r="F45">
        <v>1</v>
      </c>
      <c r="G45">
        <v>1</v>
      </c>
      <c r="H45">
        <v>0</v>
      </c>
      <c r="I45">
        <v>0</v>
      </c>
    </row>
    <row r="46" spans="1:16" x14ac:dyDescent="0.2">
      <c r="A46" s="1">
        <v>45553</v>
      </c>
      <c r="B46" t="s">
        <v>194</v>
      </c>
      <c r="C46" t="s">
        <v>193</v>
      </c>
      <c r="D46">
        <v>43</v>
      </c>
      <c r="E46">
        <v>1</v>
      </c>
      <c r="F46">
        <v>1</v>
      </c>
      <c r="G46">
        <v>0</v>
      </c>
      <c r="H46">
        <v>0</v>
      </c>
      <c r="I46">
        <v>0</v>
      </c>
    </row>
    <row r="47" spans="1:16" x14ac:dyDescent="0.2">
      <c r="A47" s="1">
        <v>45553</v>
      </c>
      <c r="B47" t="s">
        <v>194</v>
      </c>
      <c r="C47" t="s">
        <v>193</v>
      </c>
      <c r="D47">
        <v>30</v>
      </c>
      <c r="E47">
        <v>1</v>
      </c>
      <c r="F47">
        <v>1</v>
      </c>
      <c r="G47">
        <v>0</v>
      </c>
      <c r="H47">
        <v>0</v>
      </c>
      <c r="I47">
        <v>0</v>
      </c>
    </row>
    <row r="48" spans="1:16" x14ac:dyDescent="0.2">
      <c r="A48" s="33">
        <v>45553</v>
      </c>
      <c r="B48" s="34" t="s">
        <v>194</v>
      </c>
      <c r="C48" s="34" t="s">
        <v>193</v>
      </c>
      <c r="D48" s="34">
        <v>52</v>
      </c>
      <c r="E48" s="34">
        <v>1</v>
      </c>
      <c r="F48" s="34">
        <v>1</v>
      </c>
      <c r="G48" s="34">
        <v>0</v>
      </c>
      <c r="H48" s="34">
        <v>0</v>
      </c>
      <c r="I48" s="34">
        <v>0</v>
      </c>
      <c r="J48" s="34"/>
      <c r="K48" s="34"/>
      <c r="L48" s="34"/>
      <c r="M48" s="34"/>
      <c r="N48" s="34"/>
      <c r="O48" s="34"/>
      <c r="P48" s="34"/>
    </row>
    <row r="49" spans="1:16" x14ac:dyDescent="0.2">
      <c r="A49" s="1">
        <v>45567</v>
      </c>
      <c r="B49" t="s">
        <v>192</v>
      </c>
      <c r="C49" t="s">
        <v>193</v>
      </c>
      <c r="D49">
        <v>41</v>
      </c>
      <c r="E49">
        <v>1</v>
      </c>
      <c r="F49">
        <v>1</v>
      </c>
      <c r="G49">
        <v>0</v>
      </c>
      <c r="H49">
        <v>0</v>
      </c>
      <c r="I49">
        <v>0</v>
      </c>
    </row>
    <row r="50" spans="1:16" x14ac:dyDescent="0.2">
      <c r="A50" s="1">
        <v>45567</v>
      </c>
      <c r="B50" t="s">
        <v>194</v>
      </c>
      <c r="C50" t="s">
        <v>193</v>
      </c>
      <c r="D50">
        <v>38</v>
      </c>
      <c r="E50">
        <v>2</v>
      </c>
      <c r="F50">
        <v>2</v>
      </c>
      <c r="G50">
        <v>0</v>
      </c>
      <c r="H50">
        <v>0</v>
      </c>
      <c r="I50">
        <v>0</v>
      </c>
      <c r="K50" t="s">
        <v>25</v>
      </c>
      <c r="L50">
        <f>SUM(E49:E61)</f>
        <v>17</v>
      </c>
      <c r="M50" t="s">
        <v>52</v>
      </c>
      <c r="N50">
        <f>SUM(I49:I61)</f>
        <v>0</v>
      </c>
      <c r="O50" t="s">
        <v>195</v>
      </c>
      <c r="P50">
        <f>COUNTIF(C49:C61,O50)</f>
        <v>2</v>
      </c>
    </row>
    <row r="51" spans="1:16" x14ac:dyDescent="0.2">
      <c r="A51" s="1">
        <v>45567</v>
      </c>
      <c r="B51" t="s">
        <v>192</v>
      </c>
      <c r="C51" t="s">
        <v>193</v>
      </c>
      <c r="D51">
        <v>39</v>
      </c>
      <c r="E51">
        <v>1</v>
      </c>
      <c r="F51">
        <v>1</v>
      </c>
      <c r="G51">
        <v>0</v>
      </c>
      <c r="H51">
        <v>0</v>
      </c>
      <c r="I51">
        <v>0</v>
      </c>
      <c r="K51" t="s">
        <v>191</v>
      </c>
      <c r="L51">
        <f>SUM(F49:F61)</f>
        <v>12</v>
      </c>
      <c r="M51" t="s">
        <v>192</v>
      </c>
      <c r="N51">
        <f>COUNTIF(B49:B61,M51)</f>
        <v>6</v>
      </c>
      <c r="O51" t="s">
        <v>204</v>
      </c>
      <c r="P51" s="20">
        <f>AVERAGE(D49:D61)</f>
        <v>39.846153846153847</v>
      </c>
    </row>
    <row r="52" spans="1:16" x14ac:dyDescent="0.2">
      <c r="A52" s="1">
        <v>45567</v>
      </c>
      <c r="B52" t="s">
        <v>194</v>
      </c>
      <c r="C52" t="s">
        <v>193</v>
      </c>
      <c r="D52">
        <v>49</v>
      </c>
      <c r="E52">
        <v>1</v>
      </c>
      <c r="F52">
        <v>0</v>
      </c>
      <c r="G52">
        <v>1</v>
      </c>
      <c r="H52">
        <v>0</v>
      </c>
      <c r="I52">
        <v>0</v>
      </c>
      <c r="K52" t="s">
        <v>86</v>
      </c>
      <c r="L52">
        <f>SUM(G49:G61)</f>
        <v>1</v>
      </c>
      <c r="M52" t="s">
        <v>194</v>
      </c>
      <c r="N52">
        <f>COUNTIF(B49:B61,M52)</f>
        <v>7</v>
      </c>
    </row>
    <row r="53" spans="1:16" x14ac:dyDescent="0.2">
      <c r="A53" s="1">
        <v>45567</v>
      </c>
      <c r="B53" t="s">
        <v>192</v>
      </c>
      <c r="C53" t="s">
        <v>195</v>
      </c>
      <c r="D53">
        <v>53</v>
      </c>
      <c r="E53">
        <v>1</v>
      </c>
      <c r="F53">
        <v>1</v>
      </c>
      <c r="G53">
        <v>0</v>
      </c>
      <c r="H53">
        <v>0</v>
      </c>
      <c r="I53">
        <v>0</v>
      </c>
      <c r="K53" t="s">
        <v>87</v>
      </c>
      <c r="L53">
        <f>SUM(H49:H61)</f>
        <v>4</v>
      </c>
      <c r="M53" t="s">
        <v>193</v>
      </c>
      <c r="N53">
        <f>COUNTIF(C49:C61,M53)</f>
        <v>11</v>
      </c>
    </row>
    <row r="54" spans="1:16" x14ac:dyDescent="0.2">
      <c r="A54" s="1">
        <v>45567</v>
      </c>
      <c r="B54" t="s">
        <v>194</v>
      </c>
      <c r="C54" t="s">
        <v>193</v>
      </c>
      <c r="D54">
        <v>43</v>
      </c>
      <c r="E54">
        <v>1</v>
      </c>
      <c r="F54">
        <v>0</v>
      </c>
      <c r="G54">
        <v>0</v>
      </c>
      <c r="H54">
        <v>1</v>
      </c>
      <c r="I54">
        <v>0</v>
      </c>
    </row>
    <row r="55" spans="1:16" x14ac:dyDescent="0.2">
      <c r="A55" s="1">
        <v>45567</v>
      </c>
      <c r="B55" t="s">
        <v>192</v>
      </c>
      <c r="C55" t="s">
        <v>193</v>
      </c>
      <c r="D55">
        <v>32</v>
      </c>
      <c r="E55">
        <v>1</v>
      </c>
      <c r="F55">
        <v>1</v>
      </c>
      <c r="G55">
        <v>0</v>
      </c>
      <c r="H55">
        <v>0</v>
      </c>
      <c r="I55">
        <v>0</v>
      </c>
    </row>
    <row r="56" spans="1:16" x14ac:dyDescent="0.2">
      <c r="A56" s="1">
        <v>45567</v>
      </c>
      <c r="B56" t="s">
        <v>194</v>
      </c>
      <c r="C56" t="s">
        <v>193</v>
      </c>
      <c r="D56">
        <v>30</v>
      </c>
      <c r="E56">
        <v>4</v>
      </c>
      <c r="F56">
        <v>2</v>
      </c>
      <c r="G56">
        <v>0</v>
      </c>
      <c r="H56">
        <v>2</v>
      </c>
      <c r="I56">
        <v>0</v>
      </c>
      <c r="K56" t="s">
        <v>202</v>
      </c>
    </row>
    <row r="57" spans="1:16" x14ac:dyDescent="0.2">
      <c r="A57" s="1">
        <v>45567</v>
      </c>
      <c r="B57" t="s">
        <v>192</v>
      </c>
      <c r="C57" t="s">
        <v>193</v>
      </c>
      <c r="D57">
        <v>32</v>
      </c>
      <c r="E57">
        <v>1</v>
      </c>
      <c r="F57">
        <v>1</v>
      </c>
      <c r="G57">
        <v>0</v>
      </c>
      <c r="H57">
        <v>0</v>
      </c>
      <c r="I57">
        <v>0</v>
      </c>
    </row>
    <row r="58" spans="1:16" x14ac:dyDescent="0.2">
      <c r="A58" s="1">
        <v>45567</v>
      </c>
      <c r="B58" t="s">
        <v>194</v>
      </c>
      <c r="C58" t="s">
        <v>193</v>
      </c>
      <c r="D58">
        <v>39</v>
      </c>
      <c r="E58">
        <v>1</v>
      </c>
      <c r="F58">
        <v>1</v>
      </c>
      <c r="G58">
        <v>0</v>
      </c>
      <c r="H58">
        <v>0</v>
      </c>
      <c r="I58">
        <v>0</v>
      </c>
    </row>
    <row r="59" spans="1:16" x14ac:dyDescent="0.2">
      <c r="A59" s="1">
        <v>45567</v>
      </c>
      <c r="B59" t="s">
        <v>194</v>
      </c>
      <c r="C59" t="s">
        <v>193</v>
      </c>
      <c r="D59">
        <v>42</v>
      </c>
      <c r="E59">
        <v>0</v>
      </c>
      <c r="F59">
        <v>0</v>
      </c>
      <c r="G59">
        <v>0</v>
      </c>
      <c r="H59">
        <v>0</v>
      </c>
      <c r="I59">
        <v>0</v>
      </c>
      <c r="J59" t="s">
        <v>201</v>
      </c>
    </row>
    <row r="60" spans="1:16" x14ac:dyDescent="0.2">
      <c r="A60" s="1">
        <v>45567</v>
      </c>
      <c r="B60" t="s">
        <v>194</v>
      </c>
      <c r="C60" t="s">
        <v>193</v>
      </c>
      <c r="D60">
        <v>43</v>
      </c>
      <c r="E60">
        <v>2</v>
      </c>
      <c r="F60">
        <v>1</v>
      </c>
      <c r="G60">
        <v>0</v>
      </c>
      <c r="H60">
        <v>1</v>
      </c>
      <c r="I60">
        <v>0</v>
      </c>
    </row>
    <row r="61" spans="1:16" x14ac:dyDescent="0.2">
      <c r="A61" s="33">
        <v>45567</v>
      </c>
      <c r="B61" s="34" t="s">
        <v>192</v>
      </c>
      <c r="C61" s="34" t="s">
        <v>195</v>
      </c>
      <c r="D61" s="34">
        <v>37</v>
      </c>
      <c r="E61" s="34">
        <v>1</v>
      </c>
      <c r="F61" s="34">
        <v>1</v>
      </c>
      <c r="G61" s="34">
        <v>0</v>
      </c>
      <c r="H61" s="34">
        <v>0</v>
      </c>
      <c r="I61" s="34">
        <v>0</v>
      </c>
      <c r="J61" s="34"/>
      <c r="K61" s="34"/>
      <c r="L61" s="34"/>
      <c r="M61" s="34"/>
      <c r="N61" s="34"/>
      <c r="O61" s="34"/>
      <c r="P61" s="34"/>
    </row>
    <row r="62" spans="1:16" x14ac:dyDescent="0.2">
      <c r="A62" s="1">
        <v>45581</v>
      </c>
      <c r="B62" t="s">
        <v>192</v>
      </c>
      <c r="C62" t="s">
        <v>193</v>
      </c>
      <c r="D62">
        <v>52</v>
      </c>
      <c r="E62">
        <v>2</v>
      </c>
      <c r="F62">
        <v>0</v>
      </c>
      <c r="G62">
        <v>0</v>
      </c>
      <c r="H62">
        <v>0</v>
      </c>
      <c r="I62">
        <v>2</v>
      </c>
    </row>
    <row r="63" spans="1:16" x14ac:dyDescent="0.2">
      <c r="A63" s="1">
        <v>45581</v>
      </c>
      <c r="B63" t="s">
        <v>194</v>
      </c>
      <c r="C63" t="s">
        <v>195</v>
      </c>
      <c r="D63">
        <v>53</v>
      </c>
      <c r="E63">
        <v>1</v>
      </c>
      <c r="F63">
        <v>1</v>
      </c>
      <c r="G63">
        <v>0</v>
      </c>
      <c r="H63">
        <v>0</v>
      </c>
      <c r="I63">
        <v>0</v>
      </c>
      <c r="K63" t="s">
        <v>25</v>
      </c>
      <c r="L63">
        <f>SUM(E62:E70)</f>
        <v>13</v>
      </c>
      <c r="M63" t="s">
        <v>52</v>
      </c>
      <c r="N63">
        <f>SUM(I62:I70)</f>
        <v>2</v>
      </c>
      <c r="O63" t="s">
        <v>195</v>
      </c>
      <c r="P63">
        <f>COUNTIF(C62:C70,O63)</f>
        <v>1</v>
      </c>
    </row>
    <row r="64" spans="1:16" x14ac:dyDescent="0.2">
      <c r="A64" s="1">
        <v>45581</v>
      </c>
      <c r="B64" t="s">
        <v>192</v>
      </c>
      <c r="C64" t="s">
        <v>193</v>
      </c>
      <c r="D64">
        <v>22</v>
      </c>
      <c r="E64">
        <v>2</v>
      </c>
      <c r="F64">
        <v>1</v>
      </c>
      <c r="G64">
        <v>1</v>
      </c>
      <c r="H64">
        <v>0</v>
      </c>
      <c r="I64">
        <v>0</v>
      </c>
      <c r="K64" t="s">
        <v>191</v>
      </c>
      <c r="L64">
        <f>SUM(F62:F70)</f>
        <v>8</v>
      </c>
      <c r="M64" t="s">
        <v>192</v>
      </c>
      <c r="N64">
        <f>COUNTIF(B62:B70,M64)</f>
        <v>4</v>
      </c>
      <c r="O64" t="s">
        <v>204</v>
      </c>
      <c r="P64" s="20">
        <f>AVERAGE(D62:D70)</f>
        <v>41.111111111111114</v>
      </c>
    </row>
    <row r="65" spans="1:16" x14ac:dyDescent="0.2">
      <c r="A65" s="1">
        <v>45581</v>
      </c>
      <c r="B65" t="s">
        <v>192</v>
      </c>
      <c r="C65" t="s">
        <v>193</v>
      </c>
      <c r="D65">
        <v>63</v>
      </c>
      <c r="E65">
        <v>1</v>
      </c>
      <c r="F65">
        <v>1</v>
      </c>
      <c r="G65">
        <v>0</v>
      </c>
      <c r="H65">
        <v>0</v>
      </c>
      <c r="I65">
        <v>0</v>
      </c>
      <c r="K65" t="s">
        <v>86</v>
      </c>
      <c r="L65">
        <f>SUM(G62:G70)</f>
        <v>3</v>
      </c>
      <c r="M65" t="s">
        <v>194</v>
      </c>
      <c r="N65">
        <f>COUNTIF(B62:B70,M65)</f>
        <v>5</v>
      </c>
    </row>
    <row r="66" spans="1:16" x14ac:dyDescent="0.2">
      <c r="A66" s="1">
        <v>45581</v>
      </c>
      <c r="B66" t="s">
        <v>192</v>
      </c>
      <c r="C66" t="s">
        <v>193</v>
      </c>
      <c r="D66">
        <v>38</v>
      </c>
      <c r="E66">
        <v>2</v>
      </c>
      <c r="F66">
        <v>1</v>
      </c>
      <c r="G66">
        <v>1</v>
      </c>
      <c r="H66">
        <v>0</v>
      </c>
      <c r="I66">
        <v>0</v>
      </c>
      <c r="K66" t="s">
        <v>87</v>
      </c>
      <c r="L66">
        <f>SUM(H62:H70)</f>
        <v>0</v>
      </c>
      <c r="M66" t="s">
        <v>193</v>
      </c>
      <c r="N66">
        <f>COUNTIF(C62:C70,M66)</f>
        <v>8</v>
      </c>
    </row>
    <row r="67" spans="1:16" x14ac:dyDescent="0.2">
      <c r="A67" s="1">
        <v>45581</v>
      </c>
      <c r="B67" t="s">
        <v>194</v>
      </c>
      <c r="C67" t="s">
        <v>193</v>
      </c>
      <c r="D67">
        <v>41</v>
      </c>
      <c r="E67">
        <v>0</v>
      </c>
      <c r="F67">
        <v>0</v>
      </c>
      <c r="G67">
        <v>0</v>
      </c>
      <c r="H67">
        <v>0</v>
      </c>
      <c r="I67">
        <v>0</v>
      </c>
      <c r="J67" t="s">
        <v>203</v>
      </c>
    </row>
    <row r="68" spans="1:16" x14ac:dyDescent="0.2">
      <c r="A68" s="1">
        <v>45581</v>
      </c>
      <c r="B68" t="s">
        <v>194</v>
      </c>
      <c r="C68" t="s">
        <v>193</v>
      </c>
      <c r="D68">
        <v>37</v>
      </c>
      <c r="E68">
        <v>2</v>
      </c>
      <c r="F68">
        <v>1</v>
      </c>
      <c r="G68">
        <v>1</v>
      </c>
      <c r="H68">
        <v>0</v>
      </c>
      <c r="I68">
        <v>0</v>
      </c>
    </row>
    <row r="69" spans="1:16" x14ac:dyDescent="0.2">
      <c r="A69" s="1">
        <v>45581</v>
      </c>
      <c r="B69" t="s">
        <v>194</v>
      </c>
      <c r="C69" t="s">
        <v>193</v>
      </c>
      <c r="D69">
        <v>30</v>
      </c>
      <c r="E69">
        <v>2</v>
      </c>
      <c r="F69">
        <v>2</v>
      </c>
      <c r="G69">
        <v>0</v>
      </c>
      <c r="H69">
        <v>0</v>
      </c>
      <c r="I69">
        <v>0</v>
      </c>
    </row>
    <row r="70" spans="1:16" x14ac:dyDescent="0.2">
      <c r="A70" s="33">
        <v>45581</v>
      </c>
      <c r="B70" s="34" t="s">
        <v>194</v>
      </c>
      <c r="C70" s="34" t="s">
        <v>193</v>
      </c>
      <c r="D70" s="34">
        <v>34</v>
      </c>
      <c r="E70" s="34">
        <v>1</v>
      </c>
      <c r="F70" s="34">
        <v>1</v>
      </c>
      <c r="G70" s="34">
        <v>0</v>
      </c>
      <c r="H70" s="34">
        <v>0</v>
      </c>
      <c r="I70" s="34">
        <v>0</v>
      </c>
      <c r="J70" s="34"/>
      <c r="K70" s="34"/>
      <c r="L70" s="34"/>
      <c r="M70" s="34"/>
      <c r="N70" s="34"/>
      <c r="O70" s="34"/>
      <c r="P70" s="34"/>
    </row>
    <row r="71" spans="1:16" x14ac:dyDescent="0.2">
      <c r="A71" s="1">
        <v>45595</v>
      </c>
      <c r="B71" t="s">
        <v>194</v>
      </c>
      <c r="C71" t="s">
        <v>193</v>
      </c>
      <c r="D71">
        <v>52</v>
      </c>
      <c r="E71">
        <v>2</v>
      </c>
      <c r="F71">
        <v>0</v>
      </c>
      <c r="G71">
        <v>0</v>
      </c>
      <c r="H71">
        <v>0</v>
      </c>
      <c r="I71">
        <v>2</v>
      </c>
    </row>
    <row r="72" spans="1:16" x14ac:dyDescent="0.2">
      <c r="A72" s="1">
        <v>45595</v>
      </c>
      <c r="B72" t="s">
        <v>194</v>
      </c>
      <c r="C72" t="s">
        <v>193</v>
      </c>
      <c r="D72">
        <v>44</v>
      </c>
      <c r="E72">
        <v>2</v>
      </c>
      <c r="F72">
        <v>2</v>
      </c>
      <c r="G72">
        <v>0</v>
      </c>
      <c r="H72">
        <v>0</v>
      </c>
      <c r="I72">
        <v>0</v>
      </c>
      <c r="K72" t="s">
        <v>25</v>
      </c>
      <c r="L72">
        <f>SUM(E71:E80)</f>
        <v>15</v>
      </c>
      <c r="M72" t="s">
        <v>52</v>
      </c>
      <c r="N72">
        <f>SUM(I71:I80)</f>
        <v>2</v>
      </c>
      <c r="O72" t="s">
        <v>195</v>
      </c>
      <c r="P72">
        <f>COUNTIF(C71:C80,O72)</f>
        <v>1</v>
      </c>
    </row>
    <row r="73" spans="1:16" x14ac:dyDescent="0.2">
      <c r="A73" s="1">
        <v>45595</v>
      </c>
      <c r="B73" t="s">
        <v>194</v>
      </c>
      <c r="C73" t="s">
        <v>193</v>
      </c>
      <c r="D73">
        <v>37</v>
      </c>
      <c r="E73">
        <v>2</v>
      </c>
      <c r="F73">
        <v>1</v>
      </c>
      <c r="G73">
        <v>1</v>
      </c>
      <c r="H73">
        <v>0</v>
      </c>
      <c r="I73">
        <v>0</v>
      </c>
      <c r="K73" t="s">
        <v>191</v>
      </c>
      <c r="L73">
        <f>SUM(F71:F80)</f>
        <v>10</v>
      </c>
      <c r="M73" t="s">
        <v>192</v>
      </c>
      <c r="N73">
        <f>COUNTIF(B71:B80,M73)</f>
        <v>3</v>
      </c>
      <c r="O73" t="s">
        <v>204</v>
      </c>
      <c r="P73">
        <f>AVERAGE(D71:D80)</f>
        <v>38.6</v>
      </c>
    </row>
    <row r="74" spans="1:16" x14ac:dyDescent="0.2">
      <c r="A74" s="1">
        <v>45595</v>
      </c>
      <c r="B74" t="s">
        <v>194</v>
      </c>
      <c r="C74" t="s">
        <v>193</v>
      </c>
      <c r="D74">
        <v>22</v>
      </c>
      <c r="E74">
        <v>2</v>
      </c>
      <c r="F74">
        <v>1</v>
      </c>
      <c r="G74">
        <v>1</v>
      </c>
      <c r="H74">
        <v>0</v>
      </c>
      <c r="I74">
        <v>0</v>
      </c>
      <c r="K74" t="s">
        <v>86</v>
      </c>
      <c r="L74">
        <f>SUM(G71:G80)</f>
        <v>3</v>
      </c>
      <c r="M74" t="s">
        <v>194</v>
      </c>
      <c r="N74">
        <f>COUNTIF(B71:B80,M74)</f>
        <v>7</v>
      </c>
    </row>
    <row r="75" spans="1:16" x14ac:dyDescent="0.2">
      <c r="A75" s="1">
        <v>45595</v>
      </c>
      <c r="B75" t="s">
        <v>192</v>
      </c>
      <c r="C75" t="s">
        <v>193</v>
      </c>
      <c r="D75">
        <v>54</v>
      </c>
      <c r="E75">
        <v>1</v>
      </c>
      <c r="F75">
        <v>1</v>
      </c>
      <c r="G75">
        <v>0</v>
      </c>
      <c r="H75">
        <v>0</v>
      </c>
      <c r="I75">
        <v>0</v>
      </c>
      <c r="K75" t="s">
        <v>87</v>
      </c>
      <c r="L75">
        <f>SUM(H71:H80)</f>
        <v>0</v>
      </c>
      <c r="M75" t="s">
        <v>193</v>
      </c>
      <c r="N75">
        <f>COUNTIF(C71:C80,M75)</f>
        <v>9</v>
      </c>
    </row>
    <row r="76" spans="1:16" x14ac:dyDescent="0.2">
      <c r="A76" s="1">
        <v>45595</v>
      </c>
      <c r="B76" t="s">
        <v>192</v>
      </c>
      <c r="C76" t="s">
        <v>195</v>
      </c>
      <c r="D76">
        <v>30</v>
      </c>
      <c r="E76">
        <v>1</v>
      </c>
      <c r="F76">
        <v>1</v>
      </c>
      <c r="G76">
        <v>0</v>
      </c>
      <c r="H76">
        <v>0</v>
      </c>
      <c r="I76">
        <v>0</v>
      </c>
    </row>
    <row r="77" spans="1:16" x14ac:dyDescent="0.2">
      <c r="A77" s="1">
        <v>45595</v>
      </c>
      <c r="B77" t="s">
        <v>194</v>
      </c>
      <c r="C77" t="s">
        <v>193</v>
      </c>
      <c r="D77">
        <v>44</v>
      </c>
      <c r="E77">
        <v>1</v>
      </c>
      <c r="F77">
        <v>1</v>
      </c>
      <c r="G77">
        <v>0</v>
      </c>
      <c r="H77">
        <v>0</v>
      </c>
      <c r="I77">
        <v>0</v>
      </c>
    </row>
    <row r="78" spans="1:16" x14ac:dyDescent="0.2">
      <c r="A78" s="1">
        <v>45595</v>
      </c>
      <c r="B78" t="s">
        <v>194</v>
      </c>
      <c r="C78" t="s">
        <v>193</v>
      </c>
      <c r="D78">
        <v>38</v>
      </c>
      <c r="E78">
        <v>1</v>
      </c>
      <c r="F78">
        <v>1</v>
      </c>
      <c r="G78">
        <v>0</v>
      </c>
      <c r="H78">
        <v>0</v>
      </c>
      <c r="I78">
        <v>0</v>
      </c>
    </row>
    <row r="79" spans="1:16" x14ac:dyDescent="0.2">
      <c r="A79" s="1">
        <v>45595</v>
      </c>
      <c r="B79" t="s">
        <v>192</v>
      </c>
      <c r="C79" t="s">
        <v>193</v>
      </c>
      <c r="D79">
        <v>43</v>
      </c>
      <c r="E79">
        <v>1</v>
      </c>
      <c r="F79">
        <v>1</v>
      </c>
      <c r="G79">
        <v>0</v>
      </c>
      <c r="H79">
        <v>0</v>
      </c>
      <c r="I79">
        <v>0</v>
      </c>
    </row>
    <row r="80" spans="1:16" x14ac:dyDescent="0.2">
      <c r="A80" s="33">
        <v>45595</v>
      </c>
      <c r="B80" s="34" t="s">
        <v>194</v>
      </c>
      <c r="C80" s="34" t="s">
        <v>193</v>
      </c>
      <c r="D80" s="34">
        <v>22</v>
      </c>
      <c r="E80" s="34">
        <v>2</v>
      </c>
      <c r="F80" s="34">
        <v>1</v>
      </c>
      <c r="G80" s="34">
        <v>1</v>
      </c>
      <c r="H80" s="34">
        <v>0</v>
      </c>
      <c r="I80" s="34">
        <v>0</v>
      </c>
      <c r="J80" s="34"/>
      <c r="K80" s="34"/>
      <c r="L80" s="34"/>
      <c r="M80" s="34"/>
      <c r="N80" s="34"/>
      <c r="O80" s="34"/>
      <c r="P80" s="34"/>
    </row>
    <row r="81" spans="1:16" x14ac:dyDescent="0.2">
      <c r="A81" s="1">
        <v>45609</v>
      </c>
      <c r="B81" t="s">
        <v>194</v>
      </c>
      <c r="C81" t="s">
        <v>193</v>
      </c>
      <c r="D81">
        <v>47</v>
      </c>
      <c r="E81">
        <v>1</v>
      </c>
      <c r="F81">
        <v>0</v>
      </c>
      <c r="G81">
        <v>0</v>
      </c>
      <c r="H81">
        <v>0</v>
      </c>
      <c r="I81">
        <v>1</v>
      </c>
    </row>
    <row r="82" spans="1:16" x14ac:dyDescent="0.2">
      <c r="A82" s="1">
        <v>45609</v>
      </c>
      <c r="B82" t="s">
        <v>192</v>
      </c>
      <c r="C82" t="s">
        <v>195</v>
      </c>
      <c r="D82">
        <v>44</v>
      </c>
      <c r="E82">
        <v>0</v>
      </c>
      <c r="F82">
        <v>0</v>
      </c>
      <c r="G82">
        <v>0</v>
      </c>
      <c r="H82">
        <v>0</v>
      </c>
      <c r="I82">
        <v>0</v>
      </c>
      <c r="J82" t="s">
        <v>215</v>
      </c>
      <c r="K82" t="s">
        <v>25</v>
      </c>
      <c r="L82">
        <f>SUM(E81:E96)</f>
        <v>23</v>
      </c>
      <c r="M82" t="s">
        <v>52</v>
      </c>
      <c r="N82">
        <f>SUM(I81:I96)</f>
        <v>2</v>
      </c>
      <c r="O82" t="s">
        <v>195</v>
      </c>
      <c r="P82">
        <f>COUNTIF(C81:C96,O82)</f>
        <v>3</v>
      </c>
    </row>
    <row r="83" spans="1:16" x14ac:dyDescent="0.2">
      <c r="A83" s="1">
        <v>45609</v>
      </c>
      <c r="B83" t="s">
        <v>194</v>
      </c>
      <c r="C83" t="s">
        <v>193</v>
      </c>
      <c r="D83">
        <v>43</v>
      </c>
      <c r="E83">
        <v>4</v>
      </c>
      <c r="F83">
        <v>0</v>
      </c>
      <c r="G83">
        <v>0</v>
      </c>
      <c r="H83">
        <v>3</v>
      </c>
      <c r="I83">
        <v>1</v>
      </c>
      <c r="K83" t="s">
        <v>191</v>
      </c>
      <c r="L83">
        <f>SUM(F81:F96)</f>
        <v>9</v>
      </c>
      <c r="M83" t="s">
        <v>192</v>
      </c>
      <c r="N83">
        <f>COUNTIF(B81:B96,M83)</f>
        <v>6</v>
      </c>
      <c r="O83" t="s">
        <v>204</v>
      </c>
      <c r="P83" s="20">
        <f>AVERAGE(D81:D96)</f>
        <v>43.625</v>
      </c>
    </row>
    <row r="84" spans="1:16" x14ac:dyDescent="0.2">
      <c r="A84" s="1">
        <v>45609</v>
      </c>
      <c r="B84" t="s">
        <v>192</v>
      </c>
      <c r="C84" t="s">
        <v>193</v>
      </c>
      <c r="D84">
        <v>45</v>
      </c>
      <c r="E84">
        <v>2</v>
      </c>
      <c r="F84">
        <v>1</v>
      </c>
      <c r="G84">
        <v>1</v>
      </c>
      <c r="H84">
        <v>0</v>
      </c>
      <c r="I84">
        <v>0</v>
      </c>
      <c r="K84" t="s">
        <v>86</v>
      </c>
      <c r="L84">
        <f>SUM(G81:G96)</f>
        <v>6</v>
      </c>
      <c r="M84" t="s">
        <v>194</v>
      </c>
      <c r="N84">
        <f>COUNTIF(B81:B96,M84)</f>
        <v>10</v>
      </c>
    </row>
    <row r="85" spans="1:16" x14ac:dyDescent="0.2">
      <c r="A85" s="1">
        <v>45609</v>
      </c>
      <c r="B85" t="s">
        <v>194</v>
      </c>
      <c r="C85" t="s">
        <v>193</v>
      </c>
      <c r="D85">
        <v>34</v>
      </c>
      <c r="E85">
        <v>1</v>
      </c>
      <c r="F85">
        <v>1</v>
      </c>
      <c r="G85">
        <v>0</v>
      </c>
      <c r="H85">
        <v>0</v>
      </c>
      <c r="I85">
        <v>0</v>
      </c>
      <c r="K85" t="s">
        <v>87</v>
      </c>
      <c r="L85">
        <f>SUM(H81:H96)</f>
        <v>6</v>
      </c>
      <c r="M85" t="s">
        <v>193</v>
      </c>
      <c r="N85">
        <f>COUNTIF(C81:C96,M85)</f>
        <v>13</v>
      </c>
    </row>
    <row r="86" spans="1:16" x14ac:dyDescent="0.2">
      <c r="A86" s="1">
        <v>45609</v>
      </c>
      <c r="B86" t="s">
        <v>194</v>
      </c>
      <c r="C86" t="s">
        <v>193</v>
      </c>
      <c r="D86">
        <v>38</v>
      </c>
      <c r="E86">
        <v>1</v>
      </c>
      <c r="F86">
        <v>0</v>
      </c>
      <c r="G86">
        <v>0</v>
      </c>
      <c r="H86">
        <v>1</v>
      </c>
      <c r="I86">
        <v>0</v>
      </c>
    </row>
    <row r="87" spans="1:16" x14ac:dyDescent="0.2">
      <c r="A87" s="1">
        <v>45609</v>
      </c>
      <c r="B87" t="s">
        <v>192</v>
      </c>
      <c r="C87" t="s">
        <v>193</v>
      </c>
      <c r="D87">
        <v>48</v>
      </c>
      <c r="E87">
        <v>2</v>
      </c>
      <c r="F87">
        <v>1</v>
      </c>
      <c r="G87">
        <v>1</v>
      </c>
      <c r="H87">
        <v>0</v>
      </c>
      <c r="I87">
        <v>0</v>
      </c>
    </row>
    <row r="88" spans="1:16" x14ac:dyDescent="0.2">
      <c r="A88" s="1">
        <v>45609</v>
      </c>
      <c r="B88" t="s">
        <v>194</v>
      </c>
      <c r="C88" t="s">
        <v>195</v>
      </c>
      <c r="D88">
        <v>34</v>
      </c>
      <c r="E88">
        <v>2</v>
      </c>
      <c r="F88">
        <v>0</v>
      </c>
      <c r="G88">
        <v>1</v>
      </c>
      <c r="H88">
        <v>1</v>
      </c>
      <c r="I88">
        <v>0</v>
      </c>
    </row>
    <row r="89" spans="1:16" x14ac:dyDescent="0.2">
      <c r="A89" s="1">
        <v>45609</v>
      </c>
      <c r="B89" t="s">
        <v>194</v>
      </c>
      <c r="C89" t="s">
        <v>193</v>
      </c>
      <c r="D89">
        <v>47</v>
      </c>
      <c r="E89">
        <v>2</v>
      </c>
      <c r="F89">
        <v>1</v>
      </c>
      <c r="G89">
        <v>1</v>
      </c>
      <c r="H89">
        <v>0</v>
      </c>
      <c r="I89">
        <v>0</v>
      </c>
    </row>
    <row r="90" spans="1:16" x14ac:dyDescent="0.2">
      <c r="A90" s="1">
        <v>45609</v>
      </c>
      <c r="B90" t="s">
        <v>194</v>
      </c>
      <c r="C90" t="s">
        <v>195</v>
      </c>
      <c r="D90">
        <v>44</v>
      </c>
      <c r="E90">
        <v>0</v>
      </c>
      <c r="F90">
        <v>0</v>
      </c>
      <c r="G90">
        <v>0</v>
      </c>
      <c r="H90">
        <v>0</v>
      </c>
      <c r="I90">
        <v>0</v>
      </c>
    </row>
    <row r="91" spans="1:16" x14ac:dyDescent="0.2">
      <c r="A91" s="1">
        <v>45609</v>
      </c>
      <c r="B91" t="s">
        <v>192</v>
      </c>
      <c r="C91" t="s">
        <v>193</v>
      </c>
      <c r="D91">
        <v>35</v>
      </c>
      <c r="E91">
        <v>1</v>
      </c>
      <c r="F91">
        <v>1</v>
      </c>
      <c r="G91">
        <v>0</v>
      </c>
      <c r="H91">
        <v>0</v>
      </c>
      <c r="I91">
        <v>0</v>
      </c>
    </row>
    <row r="92" spans="1:16" x14ac:dyDescent="0.2">
      <c r="A92" s="1">
        <v>45609</v>
      </c>
      <c r="B92" t="s">
        <v>194</v>
      </c>
      <c r="C92" t="s">
        <v>193</v>
      </c>
      <c r="D92">
        <v>22</v>
      </c>
      <c r="E92">
        <v>2</v>
      </c>
      <c r="F92">
        <v>1</v>
      </c>
      <c r="G92">
        <v>1</v>
      </c>
      <c r="H92">
        <v>0</v>
      </c>
      <c r="I92">
        <v>0</v>
      </c>
    </row>
    <row r="93" spans="1:16" x14ac:dyDescent="0.2">
      <c r="A93" s="1">
        <v>45609</v>
      </c>
      <c r="B93" t="s">
        <v>192</v>
      </c>
      <c r="C93" t="s">
        <v>193</v>
      </c>
      <c r="D93">
        <v>57</v>
      </c>
      <c r="E93">
        <v>1</v>
      </c>
      <c r="F93">
        <v>0</v>
      </c>
      <c r="G93">
        <v>0</v>
      </c>
      <c r="H93">
        <v>1</v>
      </c>
      <c r="I93">
        <v>0</v>
      </c>
    </row>
    <row r="94" spans="1:16" x14ac:dyDescent="0.2">
      <c r="A94" s="1">
        <v>45609</v>
      </c>
      <c r="B94" t="s">
        <v>192</v>
      </c>
      <c r="C94" t="s">
        <v>193</v>
      </c>
      <c r="D94">
        <v>58</v>
      </c>
      <c r="E94">
        <v>1</v>
      </c>
      <c r="F94">
        <v>1</v>
      </c>
      <c r="G94">
        <v>0</v>
      </c>
      <c r="H94">
        <v>0</v>
      </c>
      <c r="I94">
        <v>0</v>
      </c>
    </row>
    <row r="95" spans="1:16" x14ac:dyDescent="0.2">
      <c r="A95" s="1">
        <v>45609</v>
      </c>
      <c r="B95" t="s">
        <v>194</v>
      </c>
      <c r="C95" t="s">
        <v>193</v>
      </c>
      <c r="D95">
        <v>48</v>
      </c>
      <c r="E95">
        <v>2</v>
      </c>
      <c r="F95">
        <v>1</v>
      </c>
      <c r="G95">
        <v>1</v>
      </c>
      <c r="H95">
        <v>0</v>
      </c>
      <c r="I95">
        <v>0</v>
      </c>
    </row>
    <row r="96" spans="1:16" x14ac:dyDescent="0.2">
      <c r="A96" s="33">
        <v>45609</v>
      </c>
      <c r="B96" s="34" t="s">
        <v>194</v>
      </c>
      <c r="C96" s="34" t="s">
        <v>193</v>
      </c>
      <c r="D96" s="34">
        <v>54</v>
      </c>
      <c r="E96" s="34">
        <v>1</v>
      </c>
      <c r="F96" s="34">
        <v>1</v>
      </c>
      <c r="G96" s="34">
        <v>0</v>
      </c>
      <c r="H96" s="34">
        <v>0</v>
      </c>
      <c r="I96" s="34">
        <v>0</v>
      </c>
      <c r="J96" s="34"/>
      <c r="K96" s="34"/>
      <c r="L96" s="34"/>
      <c r="M96" s="34"/>
      <c r="N96" s="34"/>
      <c r="O96" s="34"/>
      <c r="P96" s="34"/>
    </row>
    <row r="97" spans="1:16" x14ac:dyDescent="0.2">
      <c r="A97" s="1">
        <v>45623</v>
      </c>
      <c r="B97" t="s">
        <v>194</v>
      </c>
      <c r="C97" t="s">
        <v>193</v>
      </c>
      <c r="D97">
        <v>43</v>
      </c>
      <c r="E97">
        <v>2</v>
      </c>
      <c r="F97">
        <v>1</v>
      </c>
      <c r="G97">
        <v>0</v>
      </c>
      <c r="H97">
        <v>0</v>
      </c>
      <c r="I97">
        <v>1</v>
      </c>
    </row>
    <row r="98" spans="1:16" x14ac:dyDescent="0.2">
      <c r="A98" s="1">
        <v>45623</v>
      </c>
      <c r="B98" t="s">
        <v>194</v>
      </c>
      <c r="C98" t="s">
        <v>195</v>
      </c>
      <c r="D98">
        <v>34</v>
      </c>
      <c r="E98">
        <v>3</v>
      </c>
      <c r="F98">
        <v>1</v>
      </c>
      <c r="G98">
        <v>1</v>
      </c>
      <c r="H98">
        <v>1</v>
      </c>
      <c r="I98">
        <v>0</v>
      </c>
      <c r="K98" t="s">
        <v>25</v>
      </c>
      <c r="L98">
        <f>SUM(E97:E110)</f>
        <v>18</v>
      </c>
      <c r="M98" t="s">
        <v>52</v>
      </c>
      <c r="N98">
        <f>SUM(I97:I110)</f>
        <v>1</v>
      </c>
      <c r="O98" t="s">
        <v>195</v>
      </c>
      <c r="P98">
        <f>COUNTIF(C97:C110,O98)</f>
        <v>5</v>
      </c>
    </row>
    <row r="99" spans="1:16" x14ac:dyDescent="0.2">
      <c r="A99" s="1">
        <v>45623</v>
      </c>
      <c r="B99" t="s">
        <v>192</v>
      </c>
      <c r="C99" t="s">
        <v>193</v>
      </c>
      <c r="D99">
        <v>36</v>
      </c>
      <c r="E99">
        <v>0</v>
      </c>
      <c r="F99">
        <v>0</v>
      </c>
      <c r="G99">
        <v>0</v>
      </c>
      <c r="H99">
        <v>0</v>
      </c>
      <c r="I99">
        <v>0</v>
      </c>
      <c r="J99" t="s">
        <v>216</v>
      </c>
      <c r="K99" t="s">
        <v>191</v>
      </c>
      <c r="L99">
        <f>SUM(F97:F110)</f>
        <v>9</v>
      </c>
      <c r="M99" t="s">
        <v>192</v>
      </c>
      <c r="N99">
        <f>COUNTIF(B97:B110,M99)</f>
        <v>7</v>
      </c>
      <c r="O99" t="s">
        <v>204</v>
      </c>
      <c r="P99" s="20">
        <f>AVERAGE(D97:D110)</f>
        <v>40.928571428571431</v>
      </c>
    </row>
    <row r="100" spans="1:16" x14ac:dyDescent="0.2">
      <c r="A100" s="1">
        <v>45623</v>
      </c>
      <c r="B100" t="s">
        <v>194</v>
      </c>
      <c r="C100" t="s">
        <v>193</v>
      </c>
      <c r="D100">
        <v>57</v>
      </c>
      <c r="E100">
        <v>1</v>
      </c>
      <c r="F100">
        <v>0</v>
      </c>
      <c r="G100">
        <v>0</v>
      </c>
      <c r="H100">
        <v>1</v>
      </c>
      <c r="I100">
        <v>0</v>
      </c>
      <c r="K100" t="s">
        <v>86</v>
      </c>
      <c r="L100">
        <f>SUM(G97:G110)</f>
        <v>4</v>
      </c>
      <c r="M100" t="s">
        <v>194</v>
      </c>
      <c r="N100">
        <f>COUNTIF(B97:B110,M100)</f>
        <v>7</v>
      </c>
    </row>
    <row r="101" spans="1:16" x14ac:dyDescent="0.2">
      <c r="A101" s="1">
        <v>45623</v>
      </c>
      <c r="B101" t="s">
        <v>192</v>
      </c>
      <c r="C101" t="s">
        <v>195</v>
      </c>
      <c r="D101">
        <v>47</v>
      </c>
      <c r="E101">
        <v>1</v>
      </c>
      <c r="F101">
        <v>1</v>
      </c>
      <c r="G101">
        <v>0</v>
      </c>
      <c r="H101">
        <v>0</v>
      </c>
      <c r="I101">
        <v>0</v>
      </c>
      <c r="K101" t="s">
        <v>87</v>
      </c>
      <c r="L101">
        <f>SUM(H97:H110)</f>
        <v>4</v>
      </c>
      <c r="M101" t="s">
        <v>193</v>
      </c>
      <c r="N101">
        <f>COUNTIF(C97:C110,M101)</f>
        <v>9</v>
      </c>
    </row>
    <row r="102" spans="1:16" x14ac:dyDescent="0.2">
      <c r="A102" s="1">
        <v>45623</v>
      </c>
      <c r="B102" t="s">
        <v>192</v>
      </c>
      <c r="C102" t="s">
        <v>195</v>
      </c>
      <c r="D102">
        <v>36</v>
      </c>
      <c r="E102">
        <v>1</v>
      </c>
      <c r="F102">
        <v>0</v>
      </c>
      <c r="G102">
        <v>1</v>
      </c>
      <c r="H102">
        <v>0</v>
      </c>
      <c r="I102">
        <v>0</v>
      </c>
    </row>
    <row r="103" spans="1:16" x14ac:dyDescent="0.2">
      <c r="A103" s="1">
        <v>45623</v>
      </c>
      <c r="B103" t="s">
        <v>194</v>
      </c>
      <c r="C103" t="s">
        <v>193</v>
      </c>
      <c r="D103">
        <v>50</v>
      </c>
      <c r="E103">
        <v>1</v>
      </c>
      <c r="F103">
        <v>1</v>
      </c>
      <c r="G103">
        <v>0</v>
      </c>
      <c r="H103">
        <v>0</v>
      </c>
      <c r="I103">
        <v>0</v>
      </c>
    </row>
    <row r="104" spans="1:16" x14ac:dyDescent="0.2">
      <c r="A104" s="1">
        <v>45623</v>
      </c>
      <c r="B104" t="s">
        <v>192</v>
      </c>
      <c r="C104" t="s">
        <v>195</v>
      </c>
      <c r="D104">
        <v>43</v>
      </c>
      <c r="E104">
        <v>1</v>
      </c>
      <c r="F104">
        <v>0</v>
      </c>
      <c r="G104">
        <v>0</v>
      </c>
      <c r="H104">
        <v>1</v>
      </c>
      <c r="I104">
        <v>0</v>
      </c>
    </row>
    <row r="105" spans="1:16" x14ac:dyDescent="0.2">
      <c r="A105" s="1">
        <v>45623</v>
      </c>
      <c r="B105" t="s">
        <v>192</v>
      </c>
      <c r="C105" t="s">
        <v>195</v>
      </c>
      <c r="D105">
        <v>35</v>
      </c>
      <c r="E105">
        <v>1</v>
      </c>
      <c r="F105">
        <v>1</v>
      </c>
      <c r="G105">
        <v>0</v>
      </c>
      <c r="H105">
        <v>0</v>
      </c>
      <c r="I105">
        <v>0</v>
      </c>
    </row>
    <row r="106" spans="1:16" x14ac:dyDescent="0.2">
      <c r="A106" s="1">
        <v>45623</v>
      </c>
      <c r="B106" t="s">
        <v>194</v>
      </c>
      <c r="C106" t="s">
        <v>193</v>
      </c>
      <c r="D106">
        <v>43</v>
      </c>
      <c r="E106">
        <v>1</v>
      </c>
      <c r="F106">
        <v>0</v>
      </c>
      <c r="G106">
        <v>0</v>
      </c>
      <c r="H106">
        <v>1</v>
      </c>
      <c r="I106">
        <v>0</v>
      </c>
    </row>
    <row r="107" spans="1:16" x14ac:dyDescent="0.2">
      <c r="A107" s="1">
        <v>45623</v>
      </c>
      <c r="B107" t="s">
        <v>192</v>
      </c>
      <c r="C107" t="s">
        <v>193</v>
      </c>
      <c r="D107">
        <v>40</v>
      </c>
      <c r="E107">
        <v>1</v>
      </c>
      <c r="F107">
        <v>1</v>
      </c>
      <c r="G107">
        <v>0</v>
      </c>
      <c r="H107">
        <v>0</v>
      </c>
      <c r="I107">
        <v>0</v>
      </c>
    </row>
    <row r="108" spans="1:16" x14ac:dyDescent="0.2">
      <c r="A108" s="1">
        <v>45623</v>
      </c>
      <c r="B108" t="s">
        <v>194</v>
      </c>
      <c r="C108" t="s">
        <v>193</v>
      </c>
      <c r="D108">
        <v>43</v>
      </c>
      <c r="E108">
        <v>2</v>
      </c>
      <c r="F108">
        <v>1</v>
      </c>
      <c r="G108">
        <v>1</v>
      </c>
      <c r="H108">
        <v>0</v>
      </c>
      <c r="I108">
        <v>0</v>
      </c>
    </row>
    <row r="109" spans="1:16" x14ac:dyDescent="0.2">
      <c r="A109" s="1">
        <v>45623</v>
      </c>
      <c r="B109" t="s">
        <v>192</v>
      </c>
      <c r="C109" t="s">
        <v>193</v>
      </c>
      <c r="D109">
        <v>28</v>
      </c>
      <c r="E109">
        <v>2</v>
      </c>
      <c r="F109">
        <v>1</v>
      </c>
      <c r="G109">
        <v>1</v>
      </c>
      <c r="H109">
        <v>0</v>
      </c>
      <c r="I109">
        <v>0</v>
      </c>
    </row>
    <row r="110" spans="1:16" x14ac:dyDescent="0.2">
      <c r="A110" s="33">
        <v>45623</v>
      </c>
      <c r="B110" s="34" t="s">
        <v>194</v>
      </c>
      <c r="C110" s="34" t="s">
        <v>193</v>
      </c>
      <c r="D110" s="34">
        <v>38</v>
      </c>
      <c r="E110" s="34">
        <v>1</v>
      </c>
      <c r="F110" s="34">
        <v>1</v>
      </c>
      <c r="G110" s="34">
        <v>0</v>
      </c>
      <c r="H110" s="34">
        <v>0</v>
      </c>
      <c r="I110" s="34">
        <v>0</v>
      </c>
      <c r="J110" s="34"/>
      <c r="K110" s="34"/>
      <c r="L110" s="34"/>
      <c r="M110" s="34"/>
      <c r="N110" s="34"/>
      <c r="O110" s="34"/>
      <c r="P110" s="34"/>
    </row>
    <row r="111" spans="1:16" x14ac:dyDescent="0.2">
      <c r="A111" s="1">
        <v>45637</v>
      </c>
      <c r="B111" t="s">
        <v>194</v>
      </c>
      <c r="C111" t="s">
        <v>195</v>
      </c>
      <c r="D111">
        <v>36</v>
      </c>
      <c r="E111">
        <v>1</v>
      </c>
      <c r="F111">
        <v>0</v>
      </c>
      <c r="G111">
        <v>0</v>
      </c>
      <c r="H111">
        <v>1</v>
      </c>
      <c r="I111">
        <v>0</v>
      </c>
    </row>
    <row r="112" spans="1:16" x14ac:dyDescent="0.2">
      <c r="A112" s="1">
        <v>45637</v>
      </c>
      <c r="B112" t="s">
        <v>194</v>
      </c>
      <c r="C112" t="s">
        <v>195</v>
      </c>
      <c r="D112">
        <v>35</v>
      </c>
      <c r="E112">
        <v>1</v>
      </c>
      <c r="F112">
        <v>1</v>
      </c>
      <c r="G112">
        <v>0</v>
      </c>
      <c r="H112">
        <v>0</v>
      </c>
      <c r="I112">
        <v>0</v>
      </c>
      <c r="K112" t="s">
        <v>25</v>
      </c>
      <c r="L112">
        <f>SUM(E111:E125)</f>
        <v>23</v>
      </c>
      <c r="M112" t="s">
        <v>52</v>
      </c>
      <c r="N112">
        <f>SUM(I111:I125)</f>
        <v>6</v>
      </c>
      <c r="O112" t="s">
        <v>195</v>
      </c>
      <c r="P112">
        <f>COUNTIF(C111:C125,O112)</f>
        <v>3</v>
      </c>
    </row>
    <row r="113" spans="1:16" x14ac:dyDescent="0.2">
      <c r="A113" s="1">
        <v>45637</v>
      </c>
      <c r="B113" t="s">
        <v>192</v>
      </c>
      <c r="C113" t="s">
        <v>193</v>
      </c>
      <c r="D113">
        <v>54</v>
      </c>
      <c r="E113">
        <v>2</v>
      </c>
      <c r="F113">
        <v>0</v>
      </c>
      <c r="G113">
        <v>0</v>
      </c>
      <c r="H113">
        <v>2</v>
      </c>
      <c r="I113">
        <v>0</v>
      </c>
      <c r="K113" t="s">
        <v>191</v>
      </c>
      <c r="L113">
        <f>SUM(F111:F125)</f>
        <v>10</v>
      </c>
      <c r="M113" t="s">
        <v>192</v>
      </c>
      <c r="N113">
        <f>COUNTIF(B111:B125,M113)</f>
        <v>6</v>
      </c>
      <c r="O113" t="s">
        <v>204</v>
      </c>
      <c r="P113" s="20">
        <f>AVERAGE(D111:D125)</f>
        <v>40.466666666666669</v>
      </c>
    </row>
    <row r="114" spans="1:16" x14ac:dyDescent="0.2">
      <c r="A114" s="1">
        <v>45637</v>
      </c>
      <c r="B114" t="s">
        <v>194</v>
      </c>
      <c r="C114" t="s">
        <v>193</v>
      </c>
      <c r="D114">
        <v>52</v>
      </c>
      <c r="E114">
        <v>3</v>
      </c>
      <c r="F114">
        <v>0</v>
      </c>
      <c r="G114">
        <v>0</v>
      </c>
      <c r="H114">
        <v>0</v>
      </c>
      <c r="I114">
        <v>3</v>
      </c>
      <c r="K114" t="s">
        <v>86</v>
      </c>
      <c r="L114">
        <f>SUM(G111:G125)</f>
        <v>2</v>
      </c>
      <c r="M114" t="s">
        <v>194</v>
      </c>
      <c r="N114">
        <f>COUNTIF(B111:B125,M114)</f>
        <v>9</v>
      </c>
    </row>
    <row r="115" spans="1:16" x14ac:dyDescent="0.2">
      <c r="A115" s="1">
        <v>45637</v>
      </c>
      <c r="B115" t="s">
        <v>194</v>
      </c>
      <c r="C115" t="s">
        <v>193</v>
      </c>
      <c r="D115">
        <v>38</v>
      </c>
      <c r="E115">
        <v>2</v>
      </c>
      <c r="F115">
        <v>1</v>
      </c>
      <c r="G115">
        <v>0</v>
      </c>
      <c r="H115">
        <v>0</v>
      </c>
      <c r="I115">
        <v>1</v>
      </c>
      <c r="K115" t="s">
        <v>87</v>
      </c>
      <c r="L115">
        <f>SUM(H111:H125)</f>
        <v>5</v>
      </c>
      <c r="M115" t="s">
        <v>193</v>
      </c>
      <c r="N115">
        <f>COUNTIF(C111:C125,M115)</f>
        <v>12</v>
      </c>
    </row>
    <row r="116" spans="1:16" x14ac:dyDescent="0.2">
      <c r="A116" s="1">
        <v>45637</v>
      </c>
      <c r="B116" t="s">
        <v>192</v>
      </c>
      <c r="C116" t="s">
        <v>193</v>
      </c>
      <c r="D116">
        <v>44</v>
      </c>
      <c r="E116">
        <v>1</v>
      </c>
      <c r="F116">
        <v>1</v>
      </c>
      <c r="G116">
        <v>0</v>
      </c>
      <c r="H116">
        <v>0</v>
      </c>
      <c r="I116">
        <v>0</v>
      </c>
    </row>
    <row r="117" spans="1:16" x14ac:dyDescent="0.2">
      <c r="A117" s="1">
        <v>45637</v>
      </c>
      <c r="B117" t="s">
        <v>192</v>
      </c>
      <c r="C117" t="s">
        <v>193</v>
      </c>
      <c r="D117">
        <v>41</v>
      </c>
      <c r="E117">
        <v>2</v>
      </c>
      <c r="F117">
        <v>0</v>
      </c>
      <c r="G117">
        <v>1</v>
      </c>
      <c r="H117">
        <v>0</v>
      </c>
      <c r="I117">
        <v>1</v>
      </c>
    </row>
    <row r="118" spans="1:16" x14ac:dyDescent="0.2">
      <c r="A118" s="1">
        <v>45637</v>
      </c>
      <c r="B118" t="s">
        <v>194</v>
      </c>
      <c r="C118" t="s">
        <v>193</v>
      </c>
      <c r="D118">
        <v>54</v>
      </c>
      <c r="E118">
        <v>1</v>
      </c>
      <c r="F118">
        <v>1</v>
      </c>
      <c r="G118">
        <v>0</v>
      </c>
      <c r="H118">
        <v>0</v>
      </c>
      <c r="I118">
        <v>0</v>
      </c>
    </row>
    <row r="119" spans="1:16" x14ac:dyDescent="0.2">
      <c r="A119" s="1">
        <v>45637</v>
      </c>
      <c r="B119" t="s">
        <v>194</v>
      </c>
      <c r="C119" t="s">
        <v>193</v>
      </c>
      <c r="D119">
        <v>32</v>
      </c>
      <c r="E119">
        <v>1</v>
      </c>
      <c r="F119">
        <v>1</v>
      </c>
      <c r="G119">
        <v>0</v>
      </c>
      <c r="H119">
        <v>0</v>
      </c>
      <c r="I119">
        <v>0</v>
      </c>
    </row>
    <row r="120" spans="1:16" x14ac:dyDescent="0.2">
      <c r="A120" s="1">
        <v>45637</v>
      </c>
      <c r="B120" t="s">
        <v>194</v>
      </c>
      <c r="C120" t="s">
        <v>193</v>
      </c>
      <c r="D120">
        <v>43</v>
      </c>
      <c r="E120">
        <v>2</v>
      </c>
      <c r="F120">
        <v>0</v>
      </c>
      <c r="G120">
        <v>0</v>
      </c>
      <c r="H120">
        <v>1</v>
      </c>
      <c r="I120">
        <v>1</v>
      </c>
    </row>
    <row r="121" spans="1:16" x14ac:dyDescent="0.2">
      <c r="A121" s="1">
        <v>45637</v>
      </c>
      <c r="B121" t="s">
        <v>194</v>
      </c>
      <c r="C121" t="s">
        <v>193</v>
      </c>
      <c r="D121">
        <v>22</v>
      </c>
      <c r="E121">
        <v>2</v>
      </c>
      <c r="F121">
        <v>1</v>
      </c>
      <c r="G121">
        <v>1</v>
      </c>
      <c r="H121">
        <v>0</v>
      </c>
      <c r="I121">
        <v>0</v>
      </c>
    </row>
    <row r="122" spans="1:16" x14ac:dyDescent="0.2">
      <c r="A122" s="1">
        <v>45637</v>
      </c>
      <c r="B122" t="s">
        <v>192</v>
      </c>
      <c r="C122" t="s">
        <v>193</v>
      </c>
      <c r="D122">
        <v>30</v>
      </c>
      <c r="E122">
        <v>1</v>
      </c>
      <c r="F122">
        <v>1</v>
      </c>
      <c r="G122">
        <v>0</v>
      </c>
      <c r="H122">
        <v>0</v>
      </c>
      <c r="I122">
        <v>0</v>
      </c>
    </row>
    <row r="123" spans="1:16" x14ac:dyDescent="0.2">
      <c r="A123" s="1">
        <v>45637</v>
      </c>
      <c r="B123" t="s">
        <v>194</v>
      </c>
      <c r="C123" t="s">
        <v>193</v>
      </c>
      <c r="D123">
        <v>54</v>
      </c>
      <c r="E123">
        <v>2</v>
      </c>
      <c r="F123">
        <v>2</v>
      </c>
      <c r="G123">
        <v>0</v>
      </c>
      <c r="H123">
        <v>0</v>
      </c>
      <c r="I123">
        <v>0</v>
      </c>
    </row>
    <row r="124" spans="1:16" x14ac:dyDescent="0.2">
      <c r="A124" s="1">
        <v>45637</v>
      </c>
      <c r="B124" t="s">
        <v>192</v>
      </c>
      <c r="C124" t="s">
        <v>193</v>
      </c>
      <c r="D124">
        <v>40</v>
      </c>
      <c r="E124">
        <v>1</v>
      </c>
      <c r="F124">
        <v>0</v>
      </c>
      <c r="G124">
        <v>0</v>
      </c>
      <c r="H124">
        <v>1</v>
      </c>
      <c r="I124">
        <v>0</v>
      </c>
    </row>
    <row r="125" spans="1:16" x14ac:dyDescent="0.2">
      <c r="A125" s="33">
        <v>45637</v>
      </c>
      <c r="B125" s="34" t="s">
        <v>192</v>
      </c>
      <c r="C125" s="34" t="s">
        <v>195</v>
      </c>
      <c r="D125" s="34">
        <v>32</v>
      </c>
      <c r="E125" s="34">
        <v>1</v>
      </c>
      <c r="F125" s="34">
        <v>1</v>
      </c>
      <c r="G125" s="34">
        <v>0</v>
      </c>
      <c r="H125" s="34">
        <v>0</v>
      </c>
      <c r="I125" s="34">
        <v>0</v>
      </c>
      <c r="J125" s="34"/>
      <c r="K125" s="34"/>
      <c r="L125" s="34"/>
      <c r="M125" s="34"/>
      <c r="N125" s="34"/>
      <c r="O125" s="34"/>
      <c r="P125" s="34"/>
    </row>
    <row r="126" spans="1:16" x14ac:dyDescent="0.2">
      <c r="A126" s="1">
        <v>45644</v>
      </c>
      <c r="B126" t="s">
        <v>192</v>
      </c>
      <c r="C126" t="s">
        <v>193</v>
      </c>
      <c r="D126">
        <v>64</v>
      </c>
      <c r="E126">
        <v>1</v>
      </c>
      <c r="F126">
        <v>1</v>
      </c>
      <c r="G126">
        <v>0</v>
      </c>
      <c r="H126">
        <v>0</v>
      </c>
      <c r="I126">
        <v>0</v>
      </c>
    </row>
    <row r="127" spans="1:16" x14ac:dyDescent="0.2">
      <c r="A127" s="1">
        <v>45644</v>
      </c>
      <c r="B127" t="s">
        <v>194</v>
      </c>
      <c r="C127" t="s">
        <v>193</v>
      </c>
      <c r="D127">
        <v>54</v>
      </c>
      <c r="E127">
        <v>2</v>
      </c>
      <c r="F127">
        <v>0</v>
      </c>
      <c r="G127">
        <v>0</v>
      </c>
      <c r="H127">
        <v>2</v>
      </c>
      <c r="I127">
        <v>0</v>
      </c>
      <c r="K127" t="s">
        <v>25</v>
      </c>
      <c r="L127">
        <f>SUM(E126:E133)</f>
        <v>11</v>
      </c>
      <c r="M127" t="s">
        <v>52</v>
      </c>
      <c r="N127">
        <f>SUM(I126:I133)</f>
        <v>0</v>
      </c>
      <c r="O127" t="s">
        <v>195</v>
      </c>
      <c r="P127">
        <f>COUNTIF(C126:C133,O127)</f>
        <v>1</v>
      </c>
    </row>
    <row r="128" spans="1:16" x14ac:dyDescent="0.2">
      <c r="A128" s="1">
        <v>45644</v>
      </c>
      <c r="B128" t="s">
        <v>194</v>
      </c>
      <c r="C128" t="s">
        <v>193</v>
      </c>
      <c r="D128">
        <v>30</v>
      </c>
      <c r="E128">
        <v>1</v>
      </c>
      <c r="F128">
        <v>1</v>
      </c>
      <c r="G128">
        <v>0</v>
      </c>
      <c r="H128">
        <v>0</v>
      </c>
      <c r="I128">
        <v>0</v>
      </c>
      <c r="K128" t="s">
        <v>191</v>
      </c>
      <c r="L128">
        <f>SUM(F126:F133)</f>
        <v>6</v>
      </c>
      <c r="M128" t="s">
        <v>192</v>
      </c>
      <c r="N128">
        <f>COUNTIF(B126:B133,M128)</f>
        <v>3</v>
      </c>
      <c r="O128" t="s">
        <v>204</v>
      </c>
      <c r="P128" s="20">
        <f>AVERAGE(D126:D133)</f>
        <v>44.875</v>
      </c>
    </row>
    <row r="129" spans="1:16" x14ac:dyDescent="0.2">
      <c r="A129" s="1">
        <v>45644</v>
      </c>
      <c r="B129" t="s">
        <v>194</v>
      </c>
      <c r="C129" t="s">
        <v>193</v>
      </c>
      <c r="D129">
        <v>28</v>
      </c>
      <c r="E129">
        <v>1</v>
      </c>
      <c r="F129">
        <v>0</v>
      </c>
      <c r="G129">
        <v>1</v>
      </c>
      <c r="H129">
        <v>0</v>
      </c>
      <c r="I129">
        <v>0</v>
      </c>
      <c r="K129" t="s">
        <v>86</v>
      </c>
      <c r="L129">
        <f>SUM(G126:G133)</f>
        <v>2</v>
      </c>
      <c r="M129" t="s">
        <v>194</v>
      </c>
      <c r="N129">
        <f>COUNTIF(B126:B133,M129)</f>
        <v>5</v>
      </c>
    </row>
    <row r="130" spans="1:16" x14ac:dyDescent="0.2">
      <c r="A130" s="1">
        <v>45644</v>
      </c>
      <c r="B130" t="s">
        <v>192</v>
      </c>
      <c r="C130" t="s">
        <v>195</v>
      </c>
      <c r="D130">
        <v>39</v>
      </c>
      <c r="E130">
        <v>1</v>
      </c>
      <c r="F130">
        <v>0</v>
      </c>
      <c r="G130">
        <v>0</v>
      </c>
      <c r="H130">
        <v>1</v>
      </c>
      <c r="I130">
        <v>0</v>
      </c>
      <c r="K130" t="s">
        <v>87</v>
      </c>
      <c r="L130">
        <f>SUM(H126:H133)</f>
        <v>3</v>
      </c>
      <c r="M130" t="s">
        <v>193</v>
      </c>
      <c r="N130">
        <f>COUNTIF(C126:C133,M130)</f>
        <v>7</v>
      </c>
    </row>
    <row r="131" spans="1:16" x14ac:dyDescent="0.2">
      <c r="A131" s="1">
        <v>45644</v>
      </c>
      <c r="B131" t="s">
        <v>194</v>
      </c>
      <c r="C131" t="s">
        <v>193</v>
      </c>
      <c r="D131">
        <v>64</v>
      </c>
      <c r="E131">
        <v>2</v>
      </c>
      <c r="F131">
        <v>2</v>
      </c>
      <c r="G131">
        <v>0</v>
      </c>
      <c r="H131">
        <v>0</v>
      </c>
      <c r="I131">
        <v>0</v>
      </c>
    </row>
    <row r="132" spans="1:16" x14ac:dyDescent="0.2">
      <c r="A132" s="1">
        <v>45644</v>
      </c>
      <c r="B132" t="s">
        <v>192</v>
      </c>
      <c r="C132" t="s">
        <v>193</v>
      </c>
      <c r="D132">
        <v>45</v>
      </c>
      <c r="E132">
        <v>2</v>
      </c>
      <c r="F132">
        <v>1</v>
      </c>
      <c r="G132">
        <v>1</v>
      </c>
      <c r="H132">
        <v>0</v>
      </c>
      <c r="I132">
        <v>0</v>
      </c>
    </row>
    <row r="133" spans="1:16" x14ac:dyDescent="0.2">
      <c r="A133" s="33">
        <v>45644</v>
      </c>
      <c r="B133" s="34" t="s">
        <v>194</v>
      </c>
      <c r="C133" s="34" t="s">
        <v>193</v>
      </c>
      <c r="D133" s="34">
        <v>35</v>
      </c>
      <c r="E133" s="34">
        <v>1</v>
      </c>
      <c r="F133" s="34">
        <v>1</v>
      </c>
      <c r="G133" s="34">
        <v>0</v>
      </c>
      <c r="H133" s="34">
        <v>0</v>
      </c>
      <c r="I133" s="34">
        <v>0</v>
      </c>
      <c r="J133" s="34"/>
      <c r="K133" s="34"/>
      <c r="L133" s="34"/>
      <c r="M133" s="34"/>
      <c r="N133" s="34"/>
      <c r="O133" s="34"/>
      <c r="P133" s="34"/>
    </row>
    <row r="134" spans="1:16" x14ac:dyDescent="0.2">
      <c r="A134" s="1">
        <v>45665</v>
      </c>
      <c r="B134" t="s">
        <v>194</v>
      </c>
      <c r="C134" t="s">
        <v>193</v>
      </c>
      <c r="D134">
        <v>43</v>
      </c>
      <c r="E134">
        <v>2</v>
      </c>
      <c r="F134">
        <v>1</v>
      </c>
      <c r="G134">
        <v>0</v>
      </c>
      <c r="H134">
        <v>1</v>
      </c>
      <c r="I134">
        <v>0</v>
      </c>
    </row>
    <row r="135" spans="1:16" x14ac:dyDescent="0.2">
      <c r="A135" s="1">
        <v>45665</v>
      </c>
      <c r="B135" t="s">
        <v>194</v>
      </c>
      <c r="C135" t="s">
        <v>193</v>
      </c>
      <c r="D135">
        <v>54</v>
      </c>
      <c r="E135">
        <v>1</v>
      </c>
      <c r="F135">
        <v>1</v>
      </c>
      <c r="G135">
        <v>0</v>
      </c>
      <c r="H135">
        <v>0</v>
      </c>
      <c r="I135">
        <v>0</v>
      </c>
      <c r="K135" t="s">
        <v>25</v>
      </c>
      <c r="L135">
        <f>SUM(E134:E151)</f>
        <v>23</v>
      </c>
      <c r="M135" t="s">
        <v>52</v>
      </c>
      <c r="N135">
        <f>SUM(I134:I151)</f>
        <v>0</v>
      </c>
      <c r="O135" t="s">
        <v>195</v>
      </c>
      <c r="P135">
        <f>COUNTIF(C134:C151,O135)</f>
        <v>3</v>
      </c>
    </row>
    <row r="136" spans="1:16" x14ac:dyDescent="0.2">
      <c r="A136" s="1">
        <v>45665</v>
      </c>
      <c r="B136" t="s">
        <v>194</v>
      </c>
      <c r="C136" t="s">
        <v>193</v>
      </c>
      <c r="D136">
        <v>56</v>
      </c>
      <c r="E136">
        <v>1</v>
      </c>
      <c r="F136">
        <v>0</v>
      </c>
      <c r="G136">
        <v>0</v>
      </c>
      <c r="H136">
        <v>1</v>
      </c>
      <c r="I136">
        <v>0</v>
      </c>
      <c r="K136" t="s">
        <v>191</v>
      </c>
      <c r="L136">
        <f>SUM(F134:F151)</f>
        <v>9</v>
      </c>
      <c r="M136" t="s">
        <v>192</v>
      </c>
      <c r="N136">
        <f>COUNTIF(B134:B151,M136)</f>
        <v>7</v>
      </c>
      <c r="O136" t="s">
        <v>204</v>
      </c>
      <c r="P136" s="20">
        <f>AVERAGE(D134:D151)</f>
        <v>41.555555555555557</v>
      </c>
    </row>
    <row r="137" spans="1:16" x14ac:dyDescent="0.2">
      <c r="A137" s="1">
        <v>45665</v>
      </c>
      <c r="B137" t="s">
        <v>194</v>
      </c>
      <c r="C137" t="s">
        <v>193</v>
      </c>
      <c r="D137">
        <v>30</v>
      </c>
      <c r="E137">
        <v>1</v>
      </c>
      <c r="F137">
        <v>1</v>
      </c>
      <c r="G137">
        <v>0</v>
      </c>
      <c r="H137">
        <v>0</v>
      </c>
      <c r="I137">
        <v>0</v>
      </c>
      <c r="K137" t="s">
        <v>86</v>
      </c>
      <c r="L137">
        <f>SUM(G134:G151)</f>
        <v>6</v>
      </c>
      <c r="M137" t="s">
        <v>194</v>
      </c>
      <c r="N137">
        <f>COUNTIF(B134:B151,M137)</f>
        <v>11</v>
      </c>
    </row>
    <row r="138" spans="1:16" x14ac:dyDescent="0.2">
      <c r="A138" s="1">
        <v>45665</v>
      </c>
      <c r="B138" t="s">
        <v>192</v>
      </c>
      <c r="C138" t="s">
        <v>195</v>
      </c>
      <c r="D138">
        <v>41</v>
      </c>
      <c r="E138">
        <v>1</v>
      </c>
      <c r="F138">
        <v>0</v>
      </c>
      <c r="G138">
        <v>1</v>
      </c>
      <c r="H138">
        <v>0</v>
      </c>
      <c r="I138">
        <v>0</v>
      </c>
      <c r="K138" t="s">
        <v>87</v>
      </c>
      <c r="L138">
        <f>SUM(H134:H151)</f>
        <v>8</v>
      </c>
      <c r="M138" t="s">
        <v>193</v>
      </c>
      <c r="N138">
        <f>COUNTIF(C134:C151,M138)</f>
        <v>15</v>
      </c>
    </row>
    <row r="139" spans="1:16" x14ac:dyDescent="0.2">
      <c r="A139" s="1">
        <v>45665</v>
      </c>
      <c r="B139" t="s">
        <v>192</v>
      </c>
      <c r="C139" t="s">
        <v>193</v>
      </c>
      <c r="D139">
        <v>43</v>
      </c>
      <c r="E139">
        <v>1</v>
      </c>
      <c r="F139">
        <v>0</v>
      </c>
      <c r="G139">
        <v>1</v>
      </c>
      <c r="H139">
        <v>0</v>
      </c>
      <c r="I139">
        <v>0</v>
      </c>
      <c r="J139" t="s">
        <v>240</v>
      </c>
    </row>
    <row r="140" spans="1:16" x14ac:dyDescent="0.2">
      <c r="A140" s="1">
        <v>45665</v>
      </c>
      <c r="B140" t="s">
        <v>192</v>
      </c>
      <c r="C140" t="s">
        <v>193</v>
      </c>
      <c r="D140">
        <v>45</v>
      </c>
      <c r="E140">
        <v>1</v>
      </c>
      <c r="F140">
        <v>0</v>
      </c>
      <c r="G140">
        <v>0</v>
      </c>
      <c r="H140">
        <v>1</v>
      </c>
      <c r="I140">
        <v>0</v>
      </c>
    </row>
    <row r="141" spans="1:16" x14ac:dyDescent="0.2">
      <c r="A141" s="1">
        <v>45665</v>
      </c>
      <c r="B141" t="s">
        <v>194</v>
      </c>
      <c r="C141" t="s">
        <v>193</v>
      </c>
      <c r="D141">
        <v>54</v>
      </c>
      <c r="E141">
        <v>1</v>
      </c>
      <c r="F141">
        <v>0</v>
      </c>
      <c r="G141">
        <v>0</v>
      </c>
      <c r="H141">
        <v>1</v>
      </c>
      <c r="I141">
        <v>0</v>
      </c>
    </row>
    <row r="142" spans="1:16" x14ac:dyDescent="0.2">
      <c r="A142" s="1">
        <v>45665</v>
      </c>
      <c r="B142" t="s">
        <v>192</v>
      </c>
      <c r="C142" t="s">
        <v>193</v>
      </c>
      <c r="D142">
        <v>49</v>
      </c>
      <c r="E142">
        <v>1</v>
      </c>
      <c r="F142">
        <v>0</v>
      </c>
      <c r="G142">
        <v>0</v>
      </c>
      <c r="H142">
        <v>1</v>
      </c>
      <c r="I142">
        <v>0</v>
      </c>
    </row>
    <row r="143" spans="1:16" x14ac:dyDescent="0.2">
      <c r="A143" s="1">
        <v>45665</v>
      </c>
      <c r="B143" t="s">
        <v>192</v>
      </c>
      <c r="C143" t="s">
        <v>193</v>
      </c>
      <c r="D143">
        <v>42</v>
      </c>
      <c r="E143">
        <v>1</v>
      </c>
      <c r="F143">
        <v>0</v>
      </c>
      <c r="G143">
        <v>0</v>
      </c>
      <c r="H143">
        <v>1</v>
      </c>
      <c r="I143">
        <v>0</v>
      </c>
    </row>
    <row r="144" spans="1:16" x14ac:dyDescent="0.2">
      <c r="A144" s="1">
        <v>45665</v>
      </c>
      <c r="B144" t="s">
        <v>192</v>
      </c>
      <c r="C144" t="s">
        <v>195</v>
      </c>
      <c r="D144">
        <v>25</v>
      </c>
      <c r="E144">
        <v>2</v>
      </c>
      <c r="F144">
        <v>1</v>
      </c>
      <c r="G144">
        <v>1</v>
      </c>
      <c r="H144">
        <v>0</v>
      </c>
      <c r="I144">
        <v>0</v>
      </c>
    </row>
    <row r="145" spans="1:16" x14ac:dyDescent="0.2">
      <c r="A145" s="1">
        <v>45665</v>
      </c>
      <c r="B145" t="s">
        <v>194</v>
      </c>
      <c r="C145" t="s">
        <v>193</v>
      </c>
      <c r="D145">
        <v>32</v>
      </c>
      <c r="E145">
        <v>2</v>
      </c>
      <c r="F145">
        <v>1</v>
      </c>
      <c r="G145">
        <v>1</v>
      </c>
      <c r="H145">
        <v>0</v>
      </c>
      <c r="I145">
        <v>0</v>
      </c>
    </row>
    <row r="146" spans="1:16" x14ac:dyDescent="0.2">
      <c r="A146" s="1">
        <v>45665</v>
      </c>
      <c r="B146" t="s">
        <v>192</v>
      </c>
      <c r="C146" t="s">
        <v>193</v>
      </c>
      <c r="D146">
        <v>48</v>
      </c>
      <c r="E146">
        <v>1</v>
      </c>
      <c r="F146">
        <v>1</v>
      </c>
      <c r="G146">
        <v>0</v>
      </c>
      <c r="H146">
        <v>0</v>
      </c>
      <c r="I146">
        <v>0</v>
      </c>
    </row>
    <row r="147" spans="1:16" x14ac:dyDescent="0.2">
      <c r="A147" s="1">
        <v>45665</v>
      </c>
      <c r="B147" t="s">
        <v>194</v>
      </c>
      <c r="C147" t="s">
        <v>195</v>
      </c>
      <c r="D147">
        <v>37</v>
      </c>
      <c r="E147">
        <v>1</v>
      </c>
      <c r="F147">
        <v>1</v>
      </c>
      <c r="G147">
        <v>0</v>
      </c>
      <c r="H147">
        <v>0</v>
      </c>
      <c r="I147">
        <v>0</v>
      </c>
    </row>
    <row r="148" spans="1:16" x14ac:dyDescent="0.2">
      <c r="A148" s="1">
        <v>45665</v>
      </c>
      <c r="B148" t="s">
        <v>194</v>
      </c>
      <c r="C148" t="s">
        <v>193</v>
      </c>
      <c r="D148">
        <v>52</v>
      </c>
      <c r="E148">
        <v>1</v>
      </c>
      <c r="F148">
        <v>0</v>
      </c>
      <c r="G148">
        <v>0</v>
      </c>
      <c r="H148">
        <v>1</v>
      </c>
      <c r="I148">
        <v>0</v>
      </c>
    </row>
    <row r="149" spans="1:16" x14ac:dyDescent="0.2">
      <c r="A149" s="1">
        <v>45665</v>
      </c>
      <c r="B149" t="s">
        <v>194</v>
      </c>
      <c r="C149" t="s">
        <v>193</v>
      </c>
      <c r="D149">
        <v>22</v>
      </c>
      <c r="E149">
        <v>2</v>
      </c>
      <c r="F149">
        <v>1</v>
      </c>
      <c r="G149">
        <v>1</v>
      </c>
      <c r="H149">
        <v>0</v>
      </c>
      <c r="I149">
        <v>0</v>
      </c>
    </row>
    <row r="150" spans="1:16" x14ac:dyDescent="0.2">
      <c r="A150" s="1">
        <v>45665</v>
      </c>
      <c r="B150" t="s">
        <v>194</v>
      </c>
      <c r="C150" t="s">
        <v>193</v>
      </c>
      <c r="D150">
        <v>43</v>
      </c>
      <c r="E150">
        <v>1</v>
      </c>
      <c r="F150">
        <v>0</v>
      </c>
      <c r="G150">
        <v>0</v>
      </c>
      <c r="H150">
        <v>1</v>
      </c>
      <c r="I150">
        <v>0</v>
      </c>
    </row>
    <row r="151" spans="1:16" x14ac:dyDescent="0.2">
      <c r="A151" s="33">
        <v>45665</v>
      </c>
      <c r="B151" s="34" t="s">
        <v>194</v>
      </c>
      <c r="C151" s="34" t="s">
        <v>193</v>
      </c>
      <c r="D151" s="34">
        <v>32</v>
      </c>
      <c r="E151" s="34">
        <v>2</v>
      </c>
      <c r="F151" s="34">
        <v>1</v>
      </c>
      <c r="G151" s="34">
        <v>1</v>
      </c>
      <c r="H151" s="34">
        <v>0</v>
      </c>
      <c r="I151" s="34">
        <v>0</v>
      </c>
      <c r="J151" s="34"/>
      <c r="K151" s="34"/>
      <c r="L151" s="34"/>
      <c r="M151" s="34"/>
      <c r="N151" s="34"/>
      <c r="O151" s="34"/>
      <c r="P151" s="34"/>
    </row>
    <row r="152" spans="1:16" x14ac:dyDescent="0.2">
      <c r="A152" s="1">
        <v>45679</v>
      </c>
      <c r="B152" t="s">
        <v>194</v>
      </c>
      <c r="C152" t="s">
        <v>193</v>
      </c>
      <c r="D152">
        <v>54</v>
      </c>
      <c r="E152">
        <v>3</v>
      </c>
      <c r="F152">
        <v>0</v>
      </c>
      <c r="G152">
        <v>0</v>
      </c>
      <c r="H152">
        <v>3</v>
      </c>
      <c r="I152">
        <v>0</v>
      </c>
    </row>
    <row r="153" spans="1:16" x14ac:dyDescent="0.2">
      <c r="A153" s="1">
        <v>45679</v>
      </c>
      <c r="B153" t="s">
        <v>194</v>
      </c>
      <c r="C153" t="s">
        <v>193</v>
      </c>
      <c r="D153">
        <v>33</v>
      </c>
      <c r="E153">
        <v>1</v>
      </c>
      <c r="F153">
        <v>1</v>
      </c>
      <c r="G153">
        <v>0</v>
      </c>
      <c r="H153">
        <v>0</v>
      </c>
      <c r="I153">
        <v>0</v>
      </c>
      <c r="K153" t="s">
        <v>25</v>
      </c>
      <c r="L153">
        <f>SUM(E152:E158)</f>
        <v>11</v>
      </c>
      <c r="M153" t="s">
        <v>52</v>
      </c>
      <c r="N153">
        <f>SUM(I152:I158)</f>
        <v>0</v>
      </c>
      <c r="O153" t="s">
        <v>195</v>
      </c>
      <c r="P153">
        <f>COUNTIF(C152:C158,O153)</f>
        <v>2</v>
      </c>
    </row>
    <row r="154" spans="1:16" x14ac:dyDescent="0.2">
      <c r="A154" s="1">
        <v>45679</v>
      </c>
      <c r="B154" t="s">
        <v>194</v>
      </c>
      <c r="C154" t="s">
        <v>193</v>
      </c>
      <c r="D154">
        <v>47</v>
      </c>
      <c r="E154">
        <v>1</v>
      </c>
      <c r="F154">
        <v>0</v>
      </c>
      <c r="G154">
        <v>0</v>
      </c>
      <c r="H154">
        <v>1</v>
      </c>
      <c r="I154">
        <v>0</v>
      </c>
      <c r="K154" t="s">
        <v>191</v>
      </c>
      <c r="L154">
        <f>SUM(F152:F158)</f>
        <v>4</v>
      </c>
      <c r="M154" t="s">
        <v>192</v>
      </c>
      <c r="N154">
        <f>COUNTIF(B152:B158,M154)</f>
        <v>2</v>
      </c>
      <c r="O154" t="s">
        <v>204</v>
      </c>
      <c r="P154" s="20">
        <f>AVERAGE(D152:D158)</f>
        <v>43.857142857142854</v>
      </c>
    </row>
    <row r="155" spans="1:16" x14ac:dyDescent="0.2">
      <c r="A155" s="1">
        <v>45679</v>
      </c>
      <c r="B155" t="s">
        <v>194</v>
      </c>
      <c r="C155" t="s">
        <v>195</v>
      </c>
      <c r="D155">
        <v>37</v>
      </c>
      <c r="E155">
        <v>1</v>
      </c>
      <c r="F155">
        <v>1</v>
      </c>
      <c r="G155">
        <v>0</v>
      </c>
      <c r="H155">
        <v>0</v>
      </c>
      <c r="I155">
        <v>0</v>
      </c>
      <c r="K155" t="s">
        <v>86</v>
      </c>
      <c r="L155">
        <f>SUM(G152:G158)</f>
        <v>2</v>
      </c>
      <c r="M155" t="s">
        <v>194</v>
      </c>
      <c r="N155">
        <f>COUNTIF(B152:B158,M155)</f>
        <v>5</v>
      </c>
    </row>
    <row r="156" spans="1:16" x14ac:dyDescent="0.2">
      <c r="A156" s="1">
        <v>45679</v>
      </c>
      <c r="B156" t="s">
        <v>194</v>
      </c>
      <c r="C156" t="s">
        <v>193</v>
      </c>
      <c r="D156">
        <v>48</v>
      </c>
      <c r="E156">
        <v>1</v>
      </c>
      <c r="F156">
        <v>1</v>
      </c>
      <c r="G156">
        <v>0</v>
      </c>
      <c r="H156">
        <v>0</v>
      </c>
      <c r="I156">
        <v>0</v>
      </c>
      <c r="K156" t="s">
        <v>87</v>
      </c>
      <c r="L156">
        <f>SUM(H152:H158)</f>
        <v>5</v>
      </c>
      <c r="M156" t="s">
        <v>193</v>
      </c>
      <c r="N156">
        <f>COUNTIF(C152:C158,M156)</f>
        <v>5</v>
      </c>
    </row>
    <row r="157" spans="1:16" x14ac:dyDescent="0.2">
      <c r="A157" s="1">
        <v>45679</v>
      </c>
      <c r="B157" t="s">
        <v>192</v>
      </c>
      <c r="C157" t="s">
        <v>195</v>
      </c>
      <c r="D157">
        <v>43</v>
      </c>
      <c r="E157">
        <v>3</v>
      </c>
      <c r="F157">
        <v>1</v>
      </c>
      <c r="G157">
        <v>2</v>
      </c>
      <c r="H157">
        <v>0</v>
      </c>
      <c r="I157">
        <v>0</v>
      </c>
    </row>
    <row r="158" spans="1:16" x14ac:dyDescent="0.2">
      <c r="A158" s="33">
        <v>45679</v>
      </c>
      <c r="B158" s="34" t="s">
        <v>192</v>
      </c>
      <c r="C158" s="34" t="s">
        <v>193</v>
      </c>
      <c r="D158" s="34">
        <v>45</v>
      </c>
      <c r="E158" s="34">
        <v>1</v>
      </c>
      <c r="F158" s="34">
        <v>0</v>
      </c>
      <c r="G158" s="34">
        <v>0</v>
      </c>
      <c r="H158" s="34">
        <v>1</v>
      </c>
      <c r="I158" s="34">
        <v>0</v>
      </c>
      <c r="J158" s="34"/>
      <c r="K158" s="34"/>
      <c r="L158" s="34"/>
      <c r="M158" s="34"/>
      <c r="N158" s="34"/>
      <c r="O158" s="34"/>
      <c r="P158" s="34"/>
    </row>
    <row r="159" spans="1:16" x14ac:dyDescent="0.2">
      <c r="A159" s="1">
        <v>45693</v>
      </c>
      <c r="B159" t="s">
        <v>194</v>
      </c>
      <c r="C159" t="s">
        <v>193</v>
      </c>
      <c r="D159">
        <v>54</v>
      </c>
      <c r="E159">
        <v>7</v>
      </c>
      <c r="F159">
        <v>0</v>
      </c>
      <c r="G159">
        <v>0</v>
      </c>
      <c r="H159">
        <v>7</v>
      </c>
      <c r="I159">
        <v>0</v>
      </c>
    </row>
    <row r="160" spans="1:16" x14ac:dyDescent="0.2">
      <c r="A160" s="1">
        <v>45693</v>
      </c>
      <c r="B160" t="s">
        <v>194</v>
      </c>
      <c r="C160" t="s">
        <v>193</v>
      </c>
      <c r="D160">
        <v>43</v>
      </c>
      <c r="E160">
        <v>3</v>
      </c>
      <c r="F160">
        <v>0</v>
      </c>
      <c r="G160">
        <v>0</v>
      </c>
      <c r="H160">
        <v>2</v>
      </c>
      <c r="I160">
        <v>1</v>
      </c>
      <c r="K160" t="s">
        <v>25</v>
      </c>
      <c r="L160">
        <f>SUM(E159:E165)</f>
        <v>17</v>
      </c>
      <c r="M160" t="s">
        <v>52</v>
      </c>
      <c r="N160">
        <f>SUM(I159:I165)</f>
        <v>1</v>
      </c>
      <c r="O160" t="s">
        <v>195</v>
      </c>
      <c r="P160">
        <f>COUNTIF(C159:C165,O160)</f>
        <v>1</v>
      </c>
    </row>
    <row r="161" spans="1:16" x14ac:dyDescent="0.2">
      <c r="A161" s="1">
        <v>45693</v>
      </c>
      <c r="B161" t="s">
        <v>194</v>
      </c>
      <c r="C161" t="s">
        <v>193</v>
      </c>
      <c r="D161">
        <v>43</v>
      </c>
      <c r="E161">
        <v>1</v>
      </c>
      <c r="F161">
        <v>1</v>
      </c>
      <c r="G161">
        <v>0</v>
      </c>
      <c r="H161">
        <v>0</v>
      </c>
      <c r="I161">
        <v>0</v>
      </c>
      <c r="K161" t="s">
        <v>191</v>
      </c>
      <c r="L161">
        <f>SUM(F159:F165)</f>
        <v>4</v>
      </c>
      <c r="M161" t="s">
        <v>192</v>
      </c>
      <c r="N161">
        <f>COUNTIF(B159:B165,M161)</f>
        <v>0</v>
      </c>
      <c r="O161" t="s">
        <v>204</v>
      </c>
      <c r="P161" s="20">
        <f>AVERAGE(D159:D165)</f>
        <v>41.857142857142854</v>
      </c>
    </row>
    <row r="162" spans="1:16" x14ac:dyDescent="0.2">
      <c r="A162" s="1">
        <v>45693</v>
      </c>
      <c r="B162" t="s">
        <v>194</v>
      </c>
      <c r="C162" t="s">
        <v>195</v>
      </c>
      <c r="D162">
        <v>43</v>
      </c>
      <c r="E162">
        <v>2</v>
      </c>
      <c r="F162">
        <v>1</v>
      </c>
      <c r="G162">
        <v>1</v>
      </c>
      <c r="H162">
        <v>0</v>
      </c>
      <c r="I162">
        <v>0</v>
      </c>
      <c r="K162" t="s">
        <v>86</v>
      </c>
      <c r="L162">
        <f>SUM(G159:G165)</f>
        <v>2</v>
      </c>
      <c r="M162" t="s">
        <v>194</v>
      </c>
      <c r="N162">
        <f>COUNTIF(B159:B165,M162)</f>
        <v>7</v>
      </c>
    </row>
    <row r="163" spans="1:16" x14ac:dyDescent="0.2">
      <c r="A163" s="1">
        <v>45693</v>
      </c>
      <c r="B163" t="s">
        <v>194</v>
      </c>
      <c r="C163" t="s">
        <v>193</v>
      </c>
      <c r="D163">
        <v>45</v>
      </c>
      <c r="E163">
        <v>1</v>
      </c>
      <c r="F163">
        <v>0</v>
      </c>
      <c r="G163">
        <v>0</v>
      </c>
      <c r="H163">
        <v>1</v>
      </c>
      <c r="I163">
        <v>0</v>
      </c>
      <c r="K163" t="s">
        <v>87</v>
      </c>
      <c r="L163">
        <f>SUM(H159:H165)</f>
        <v>10</v>
      </c>
      <c r="M163" t="s">
        <v>193</v>
      </c>
      <c r="N163">
        <f>COUNTIF(C159:C165,M163)</f>
        <v>6</v>
      </c>
    </row>
    <row r="164" spans="1:16" x14ac:dyDescent="0.2">
      <c r="A164" s="1">
        <v>45693</v>
      </c>
      <c r="B164" t="s">
        <v>194</v>
      </c>
      <c r="C164" t="s">
        <v>193</v>
      </c>
      <c r="D164">
        <v>22</v>
      </c>
      <c r="E164">
        <v>2</v>
      </c>
      <c r="F164">
        <v>1</v>
      </c>
      <c r="G164">
        <v>1</v>
      </c>
      <c r="H164">
        <v>0</v>
      </c>
      <c r="I164">
        <v>0</v>
      </c>
    </row>
    <row r="165" spans="1:16" x14ac:dyDescent="0.2">
      <c r="A165" s="33">
        <v>45693</v>
      </c>
      <c r="B165" s="34" t="s">
        <v>194</v>
      </c>
      <c r="C165" s="34" t="s">
        <v>193</v>
      </c>
      <c r="D165" s="34">
        <v>43</v>
      </c>
      <c r="E165" s="34">
        <v>1</v>
      </c>
      <c r="F165" s="34">
        <v>1</v>
      </c>
      <c r="G165" s="34">
        <v>0</v>
      </c>
      <c r="H165" s="34">
        <v>0</v>
      </c>
      <c r="I165" s="34">
        <v>0</v>
      </c>
      <c r="J165" s="34"/>
      <c r="K165" s="34"/>
      <c r="L165" s="34"/>
      <c r="M165" s="34"/>
      <c r="N165" s="34"/>
      <c r="O165" s="34"/>
      <c r="P165" s="34"/>
    </row>
    <row r="166" spans="1:16" x14ac:dyDescent="0.2">
      <c r="A166" s="1">
        <v>45356</v>
      </c>
      <c r="B166" t="s">
        <v>194</v>
      </c>
      <c r="C166" t="s">
        <v>193</v>
      </c>
      <c r="D166">
        <v>54</v>
      </c>
      <c r="E166">
        <v>2</v>
      </c>
      <c r="F166">
        <v>2</v>
      </c>
      <c r="G166">
        <v>0</v>
      </c>
      <c r="H166">
        <v>0</v>
      </c>
      <c r="I166">
        <v>0</v>
      </c>
    </row>
    <row r="167" spans="1:16" x14ac:dyDescent="0.2">
      <c r="A167" s="1">
        <v>45356</v>
      </c>
      <c r="B167" t="s">
        <v>194</v>
      </c>
      <c r="C167" t="s">
        <v>193</v>
      </c>
      <c r="D167">
        <v>54</v>
      </c>
      <c r="E167">
        <v>1</v>
      </c>
      <c r="F167">
        <v>0</v>
      </c>
      <c r="G167">
        <v>0</v>
      </c>
      <c r="H167">
        <v>1</v>
      </c>
      <c r="I167">
        <v>0</v>
      </c>
      <c r="K167" t="s">
        <v>25</v>
      </c>
      <c r="L167">
        <f>SUM(E166:E174)</f>
        <v>14</v>
      </c>
      <c r="M167" t="s">
        <v>52</v>
      </c>
      <c r="N167">
        <f>SUM(I166:I174)</f>
        <v>0</v>
      </c>
      <c r="O167" t="s">
        <v>195</v>
      </c>
      <c r="P167">
        <f>COUNTIF(C166:C174,O167)</f>
        <v>3</v>
      </c>
    </row>
    <row r="168" spans="1:16" x14ac:dyDescent="0.2">
      <c r="A168" s="1">
        <v>45356</v>
      </c>
      <c r="B168" t="s">
        <v>194</v>
      </c>
      <c r="C168" t="s">
        <v>195</v>
      </c>
      <c r="D168">
        <v>35</v>
      </c>
      <c r="E168">
        <v>1</v>
      </c>
      <c r="F168">
        <v>1</v>
      </c>
      <c r="G168">
        <v>0</v>
      </c>
      <c r="H168">
        <v>0</v>
      </c>
      <c r="I168">
        <v>0</v>
      </c>
      <c r="K168" t="s">
        <v>191</v>
      </c>
      <c r="L168">
        <f>SUM(F166:F174)</f>
        <v>8</v>
      </c>
      <c r="M168" t="s">
        <v>192</v>
      </c>
      <c r="N168">
        <f>COUNTIF(B166:B174,M168)</f>
        <v>2</v>
      </c>
      <c r="O168" t="s">
        <v>204</v>
      </c>
      <c r="P168" s="20">
        <f>AVERAGE(D166:D174)</f>
        <v>38.111111111111114</v>
      </c>
    </row>
    <row r="169" spans="1:16" x14ac:dyDescent="0.2">
      <c r="A169" s="1">
        <v>45356</v>
      </c>
      <c r="B169" t="s">
        <v>192</v>
      </c>
      <c r="C169" t="s">
        <v>193</v>
      </c>
      <c r="D169">
        <v>30</v>
      </c>
      <c r="E169">
        <v>1</v>
      </c>
      <c r="F169">
        <v>1</v>
      </c>
      <c r="G169">
        <v>0</v>
      </c>
      <c r="H169">
        <v>0</v>
      </c>
      <c r="I169">
        <v>0</v>
      </c>
      <c r="K169" t="s">
        <v>86</v>
      </c>
      <c r="L169">
        <f>SUM(G166:G174)</f>
        <v>4</v>
      </c>
      <c r="M169" t="s">
        <v>194</v>
      </c>
      <c r="N169">
        <f>COUNTIF(B166:B174,M169)</f>
        <v>7</v>
      </c>
    </row>
    <row r="170" spans="1:16" x14ac:dyDescent="0.2">
      <c r="A170" s="1">
        <v>45356</v>
      </c>
      <c r="B170" t="s">
        <v>194</v>
      </c>
      <c r="C170" t="s">
        <v>193</v>
      </c>
      <c r="D170">
        <v>36</v>
      </c>
      <c r="E170">
        <v>1</v>
      </c>
      <c r="F170">
        <v>1</v>
      </c>
      <c r="G170">
        <v>0</v>
      </c>
      <c r="H170">
        <v>0</v>
      </c>
      <c r="I170">
        <v>0</v>
      </c>
      <c r="K170" t="s">
        <v>87</v>
      </c>
      <c r="L170">
        <f>SUM(H166:H174)</f>
        <v>2</v>
      </c>
      <c r="M170" t="s">
        <v>193</v>
      </c>
      <c r="N170">
        <f>COUNTIF(C166:C174,M170)</f>
        <v>6</v>
      </c>
    </row>
    <row r="171" spans="1:16" x14ac:dyDescent="0.2">
      <c r="A171" s="1">
        <v>45356</v>
      </c>
      <c r="B171" t="s">
        <v>192</v>
      </c>
      <c r="C171" t="s">
        <v>193</v>
      </c>
      <c r="D171">
        <v>35</v>
      </c>
      <c r="E171">
        <v>2</v>
      </c>
      <c r="F171">
        <v>1</v>
      </c>
      <c r="G171">
        <v>1</v>
      </c>
      <c r="H171">
        <v>0</v>
      </c>
      <c r="I171">
        <v>0</v>
      </c>
    </row>
    <row r="172" spans="1:16" x14ac:dyDescent="0.2">
      <c r="A172" s="1">
        <v>45356</v>
      </c>
      <c r="B172" t="s">
        <v>194</v>
      </c>
      <c r="C172" t="s">
        <v>195</v>
      </c>
      <c r="D172">
        <v>25</v>
      </c>
      <c r="E172">
        <v>2</v>
      </c>
      <c r="F172">
        <v>1</v>
      </c>
      <c r="G172">
        <v>1</v>
      </c>
      <c r="H172">
        <v>0</v>
      </c>
      <c r="I172">
        <v>0</v>
      </c>
    </row>
    <row r="173" spans="1:16" x14ac:dyDescent="0.2">
      <c r="A173" s="1">
        <v>45356</v>
      </c>
      <c r="B173" t="s">
        <v>194</v>
      </c>
      <c r="C173" t="s">
        <v>193</v>
      </c>
      <c r="D173">
        <v>37</v>
      </c>
      <c r="E173">
        <v>2</v>
      </c>
      <c r="F173">
        <v>1</v>
      </c>
      <c r="G173">
        <v>1</v>
      </c>
      <c r="H173">
        <v>0</v>
      </c>
      <c r="I173">
        <v>0</v>
      </c>
    </row>
    <row r="174" spans="1:16" x14ac:dyDescent="0.2">
      <c r="A174" s="33">
        <v>45356</v>
      </c>
      <c r="B174" s="34" t="s">
        <v>194</v>
      </c>
      <c r="C174" s="34" t="s">
        <v>195</v>
      </c>
      <c r="D174" s="34">
        <v>37</v>
      </c>
      <c r="E174" s="34">
        <v>2</v>
      </c>
      <c r="F174" s="34">
        <v>0</v>
      </c>
      <c r="G174" s="34">
        <v>1</v>
      </c>
      <c r="H174" s="34">
        <v>1</v>
      </c>
      <c r="I174" s="34">
        <v>0</v>
      </c>
      <c r="J174" s="34"/>
      <c r="K174" s="34"/>
      <c r="L174" s="34"/>
      <c r="M174" s="34"/>
      <c r="N174" s="34"/>
      <c r="O174" s="34"/>
      <c r="P174" s="34"/>
    </row>
    <row r="175" spans="1:16" x14ac:dyDescent="0.2">
      <c r="A175" s="1">
        <v>45735</v>
      </c>
      <c r="B175" t="s">
        <v>194</v>
      </c>
      <c r="C175" t="s">
        <v>193</v>
      </c>
      <c r="D175">
        <v>38</v>
      </c>
      <c r="E175">
        <v>2</v>
      </c>
      <c r="F175">
        <v>1</v>
      </c>
      <c r="G175">
        <v>0</v>
      </c>
      <c r="H175">
        <v>1</v>
      </c>
      <c r="I175">
        <v>0</v>
      </c>
    </row>
    <row r="176" spans="1:16" x14ac:dyDescent="0.2">
      <c r="A176" s="1">
        <v>45735</v>
      </c>
      <c r="B176" t="s">
        <v>194</v>
      </c>
      <c r="C176" t="s">
        <v>193</v>
      </c>
      <c r="D176">
        <v>37</v>
      </c>
      <c r="E176">
        <v>2</v>
      </c>
      <c r="F176">
        <v>1</v>
      </c>
      <c r="G176">
        <v>1</v>
      </c>
      <c r="H176">
        <v>0</v>
      </c>
      <c r="I176">
        <v>0</v>
      </c>
      <c r="K176" t="s">
        <v>25</v>
      </c>
      <c r="L176">
        <f>SUM(E175:E184)</f>
        <v>16</v>
      </c>
      <c r="M176" t="s">
        <v>52</v>
      </c>
      <c r="N176">
        <f>SUM(I175:I184)</f>
        <v>1</v>
      </c>
      <c r="O176" t="s">
        <v>195</v>
      </c>
      <c r="P176">
        <f>COUNTIF(C175:C184,O176)</f>
        <v>0</v>
      </c>
    </row>
    <row r="177" spans="1:16" x14ac:dyDescent="0.2">
      <c r="A177" s="1">
        <v>45735</v>
      </c>
      <c r="B177" t="s">
        <v>194</v>
      </c>
      <c r="C177" t="s">
        <v>193</v>
      </c>
      <c r="D177">
        <v>35</v>
      </c>
      <c r="E177">
        <v>2</v>
      </c>
      <c r="F177">
        <v>1</v>
      </c>
      <c r="G177">
        <v>1</v>
      </c>
      <c r="H177">
        <v>0</v>
      </c>
      <c r="I177">
        <v>0</v>
      </c>
      <c r="K177" t="s">
        <v>191</v>
      </c>
      <c r="L177">
        <f>SUM(F175:F184)</f>
        <v>8</v>
      </c>
      <c r="M177" t="s">
        <v>192</v>
      </c>
      <c r="N177">
        <f>COUNTIF(B175:B184,M177)</f>
        <v>3</v>
      </c>
      <c r="O177" t="s">
        <v>204</v>
      </c>
      <c r="P177">
        <f>AVERAGE(D175:D184)</f>
        <v>39.4</v>
      </c>
    </row>
    <row r="178" spans="1:16" x14ac:dyDescent="0.2">
      <c r="A178" s="1">
        <v>45735</v>
      </c>
      <c r="B178" t="s">
        <v>192</v>
      </c>
      <c r="C178" t="s">
        <v>193</v>
      </c>
      <c r="D178">
        <v>53</v>
      </c>
      <c r="E178">
        <v>1</v>
      </c>
      <c r="F178">
        <v>0</v>
      </c>
      <c r="G178">
        <v>0</v>
      </c>
      <c r="H178">
        <v>0</v>
      </c>
      <c r="I178">
        <v>1</v>
      </c>
      <c r="K178" t="s">
        <v>86</v>
      </c>
      <c r="L178">
        <f>SUM(G175:G184)</f>
        <v>6</v>
      </c>
      <c r="M178" t="s">
        <v>194</v>
      </c>
      <c r="N178">
        <f>COUNTIF(B175:B184,M178)</f>
        <v>7</v>
      </c>
    </row>
    <row r="179" spans="1:16" x14ac:dyDescent="0.2">
      <c r="A179" s="1">
        <v>45735</v>
      </c>
      <c r="B179" t="s">
        <v>194</v>
      </c>
      <c r="C179" t="s">
        <v>193</v>
      </c>
      <c r="D179">
        <v>37</v>
      </c>
      <c r="E179">
        <v>2</v>
      </c>
      <c r="F179">
        <v>1</v>
      </c>
      <c r="G179">
        <v>1</v>
      </c>
      <c r="H179">
        <v>0</v>
      </c>
      <c r="I179">
        <v>0</v>
      </c>
      <c r="K179" t="s">
        <v>87</v>
      </c>
      <c r="L179">
        <f>SUM(H175:H184)</f>
        <v>1</v>
      </c>
      <c r="M179" t="s">
        <v>193</v>
      </c>
      <c r="N179">
        <f>COUNTIF(C175:C184,M179)</f>
        <v>10</v>
      </c>
    </row>
    <row r="180" spans="1:16" x14ac:dyDescent="0.2">
      <c r="A180" s="1">
        <v>45735</v>
      </c>
      <c r="B180" t="s">
        <v>194</v>
      </c>
      <c r="C180" t="s">
        <v>193</v>
      </c>
      <c r="D180">
        <v>32</v>
      </c>
      <c r="E180">
        <v>0</v>
      </c>
      <c r="F180">
        <v>0</v>
      </c>
      <c r="G180">
        <v>0</v>
      </c>
      <c r="H180">
        <v>0</v>
      </c>
      <c r="I180">
        <v>0</v>
      </c>
      <c r="J180" t="s">
        <v>323</v>
      </c>
    </row>
    <row r="181" spans="1:16" x14ac:dyDescent="0.2">
      <c r="A181" s="1">
        <v>45735</v>
      </c>
      <c r="B181" t="s">
        <v>194</v>
      </c>
      <c r="C181" t="s">
        <v>193</v>
      </c>
      <c r="D181">
        <v>39</v>
      </c>
      <c r="E181">
        <v>1</v>
      </c>
      <c r="F181">
        <v>1</v>
      </c>
      <c r="G181">
        <v>0</v>
      </c>
      <c r="H181">
        <v>0</v>
      </c>
      <c r="I181">
        <v>0</v>
      </c>
    </row>
    <row r="182" spans="1:16" x14ac:dyDescent="0.2">
      <c r="A182" s="1">
        <v>45735</v>
      </c>
      <c r="B182" t="s">
        <v>192</v>
      </c>
      <c r="C182" t="s">
        <v>193</v>
      </c>
      <c r="D182">
        <v>65</v>
      </c>
      <c r="E182">
        <v>0</v>
      </c>
      <c r="F182">
        <v>0</v>
      </c>
      <c r="G182">
        <v>0</v>
      </c>
      <c r="H182">
        <v>0</v>
      </c>
      <c r="I182">
        <v>0</v>
      </c>
      <c r="J182" t="s">
        <v>324</v>
      </c>
    </row>
    <row r="183" spans="1:16" x14ac:dyDescent="0.2">
      <c r="A183" s="1">
        <v>45735</v>
      </c>
      <c r="B183" t="s">
        <v>194</v>
      </c>
      <c r="C183" t="s">
        <v>193</v>
      </c>
      <c r="D183">
        <v>22</v>
      </c>
      <c r="E183">
        <v>4</v>
      </c>
      <c r="F183">
        <v>2</v>
      </c>
      <c r="G183">
        <v>2</v>
      </c>
      <c r="H183">
        <v>0</v>
      </c>
      <c r="I183">
        <v>0</v>
      </c>
    </row>
    <row r="184" spans="1:16" x14ac:dyDescent="0.2">
      <c r="A184" s="33">
        <v>45735</v>
      </c>
      <c r="B184" s="34" t="s">
        <v>192</v>
      </c>
      <c r="C184" s="34" t="s">
        <v>193</v>
      </c>
      <c r="D184" s="34">
        <v>36</v>
      </c>
      <c r="E184" s="34">
        <v>2</v>
      </c>
      <c r="F184" s="34">
        <v>1</v>
      </c>
      <c r="G184" s="34">
        <v>1</v>
      </c>
      <c r="H184" s="34">
        <v>0</v>
      </c>
      <c r="I184" s="34">
        <v>0</v>
      </c>
      <c r="J184" s="34"/>
      <c r="K184" s="34"/>
      <c r="L184" s="34"/>
      <c r="M184" s="34"/>
      <c r="N184" s="34"/>
      <c r="O184" s="34"/>
      <c r="P184" s="34"/>
    </row>
    <row r="185" spans="1:16" x14ac:dyDescent="0.2">
      <c r="A185" s="1">
        <v>45749</v>
      </c>
      <c r="B185" t="s">
        <v>192</v>
      </c>
      <c r="C185" t="s">
        <v>195</v>
      </c>
      <c r="D185">
        <v>56</v>
      </c>
      <c r="E185">
        <v>2</v>
      </c>
      <c r="F185">
        <v>1</v>
      </c>
      <c r="G185">
        <v>1</v>
      </c>
      <c r="H185">
        <v>0</v>
      </c>
      <c r="I185">
        <v>0</v>
      </c>
    </row>
    <row r="186" spans="1:16" x14ac:dyDescent="0.2">
      <c r="A186" s="1">
        <v>45749</v>
      </c>
      <c r="B186" t="s">
        <v>194</v>
      </c>
      <c r="C186" t="s">
        <v>193</v>
      </c>
      <c r="D186">
        <v>36</v>
      </c>
      <c r="E186">
        <v>2</v>
      </c>
      <c r="F186">
        <v>1</v>
      </c>
      <c r="G186">
        <v>1</v>
      </c>
      <c r="H186">
        <v>0</v>
      </c>
      <c r="I186">
        <v>0</v>
      </c>
      <c r="K186" t="s">
        <v>25</v>
      </c>
      <c r="L186">
        <f>SUM(E185:E191)</f>
        <v>11</v>
      </c>
      <c r="M186" t="s">
        <v>52</v>
      </c>
      <c r="N186">
        <f>SUM(I185:I191)</f>
        <v>1</v>
      </c>
      <c r="O186" t="s">
        <v>195</v>
      </c>
      <c r="P186">
        <f>COUNTIF(C185:C191,O186)</f>
        <v>1</v>
      </c>
    </row>
    <row r="187" spans="1:16" x14ac:dyDescent="0.2">
      <c r="A187" s="1">
        <v>45749</v>
      </c>
      <c r="B187" t="s">
        <v>194</v>
      </c>
      <c r="C187" t="s">
        <v>193</v>
      </c>
      <c r="D187">
        <v>33</v>
      </c>
      <c r="E187">
        <v>1</v>
      </c>
      <c r="F187">
        <v>1</v>
      </c>
      <c r="G187">
        <v>0</v>
      </c>
      <c r="H187">
        <v>0</v>
      </c>
      <c r="I187">
        <v>0</v>
      </c>
      <c r="K187" t="s">
        <v>191</v>
      </c>
      <c r="L187">
        <f>SUM(F185:F191)</f>
        <v>7</v>
      </c>
      <c r="M187" t="s">
        <v>192</v>
      </c>
      <c r="N187">
        <f>COUNTIF(B185:B191,M187)</f>
        <v>1</v>
      </c>
      <c r="O187" t="s">
        <v>204</v>
      </c>
      <c r="P187" s="20">
        <f>AVERAGE(D185:D191)</f>
        <v>37.428571428571431</v>
      </c>
    </row>
    <row r="188" spans="1:16" x14ac:dyDescent="0.2">
      <c r="A188" s="1">
        <v>45749</v>
      </c>
      <c r="B188" t="s">
        <v>194</v>
      </c>
      <c r="C188" t="s">
        <v>193</v>
      </c>
      <c r="D188">
        <v>43</v>
      </c>
      <c r="E188">
        <v>1</v>
      </c>
      <c r="F188">
        <v>1</v>
      </c>
      <c r="G188">
        <v>0</v>
      </c>
      <c r="H188">
        <v>0</v>
      </c>
      <c r="I188">
        <v>0</v>
      </c>
      <c r="K188" t="s">
        <v>86</v>
      </c>
      <c r="L188">
        <f>SUM(G185:G191)</f>
        <v>3</v>
      </c>
      <c r="M188" t="s">
        <v>194</v>
      </c>
      <c r="N188">
        <f>COUNTIF(B185:B191,M188)</f>
        <v>6</v>
      </c>
    </row>
    <row r="189" spans="1:16" x14ac:dyDescent="0.2">
      <c r="A189" s="1">
        <v>45749</v>
      </c>
      <c r="B189" t="s">
        <v>194</v>
      </c>
      <c r="C189" t="s">
        <v>193</v>
      </c>
      <c r="D189">
        <v>34</v>
      </c>
      <c r="E189">
        <v>1</v>
      </c>
      <c r="F189">
        <v>1</v>
      </c>
      <c r="G189">
        <v>0</v>
      </c>
      <c r="H189">
        <v>0</v>
      </c>
      <c r="I189">
        <v>0</v>
      </c>
      <c r="K189" t="s">
        <v>87</v>
      </c>
      <c r="L189">
        <f>SUM(H185:H191)</f>
        <v>0</v>
      </c>
      <c r="M189" t="s">
        <v>193</v>
      </c>
      <c r="N189">
        <f>COUNTIF(C185:C191,M189)</f>
        <v>6</v>
      </c>
    </row>
    <row r="190" spans="1:16" x14ac:dyDescent="0.2">
      <c r="A190" s="1">
        <v>45749</v>
      </c>
      <c r="B190" t="s">
        <v>194</v>
      </c>
      <c r="C190" t="s">
        <v>193</v>
      </c>
      <c r="D190">
        <v>38</v>
      </c>
      <c r="E190">
        <v>1</v>
      </c>
      <c r="F190">
        <v>1</v>
      </c>
      <c r="G190">
        <v>0</v>
      </c>
      <c r="H190">
        <v>0</v>
      </c>
      <c r="I190">
        <v>0</v>
      </c>
    </row>
    <row r="191" spans="1:16" x14ac:dyDescent="0.2">
      <c r="A191" s="33">
        <v>45749</v>
      </c>
      <c r="B191" s="34" t="s">
        <v>194</v>
      </c>
      <c r="C191" s="34" t="s">
        <v>193</v>
      </c>
      <c r="D191" s="34">
        <v>22</v>
      </c>
      <c r="E191" s="34">
        <v>3</v>
      </c>
      <c r="F191" s="34">
        <v>1</v>
      </c>
      <c r="G191" s="34">
        <v>1</v>
      </c>
      <c r="H191" s="34">
        <v>0</v>
      </c>
      <c r="I191" s="34">
        <v>1</v>
      </c>
      <c r="J191" s="34"/>
      <c r="K191" s="34"/>
      <c r="L191" s="34"/>
      <c r="M191" s="34"/>
      <c r="N191" s="34"/>
      <c r="O191" s="34"/>
      <c r="P191" s="34"/>
    </row>
    <row r="192" spans="1:16" x14ac:dyDescent="0.2">
      <c r="A192" s="1">
        <v>45763</v>
      </c>
      <c r="B192" t="s">
        <v>192</v>
      </c>
      <c r="C192" t="s">
        <v>193</v>
      </c>
      <c r="D192">
        <v>50</v>
      </c>
      <c r="E192">
        <v>1</v>
      </c>
      <c r="F192">
        <v>0</v>
      </c>
      <c r="G192">
        <v>0</v>
      </c>
      <c r="H192">
        <v>1</v>
      </c>
      <c r="I192">
        <v>0</v>
      </c>
    </row>
    <row r="193" spans="1:16" x14ac:dyDescent="0.2">
      <c r="A193" s="1">
        <v>45763</v>
      </c>
      <c r="B193" t="s">
        <v>194</v>
      </c>
      <c r="C193" t="s">
        <v>193</v>
      </c>
      <c r="D193">
        <v>44</v>
      </c>
      <c r="E193">
        <v>1</v>
      </c>
      <c r="F193">
        <v>1</v>
      </c>
      <c r="G193">
        <v>0</v>
      </c>
      <c r="H193">
        <v>0</v>
      </c>
      <c r="I193">
        <v>0</v>
      </c>
      <c r="K193" t="s">
        <v>25</v>
      </c>
      <c r="L193">
        <f>SUM(E192:E206)</f>
        <v>20</v>
      </c>
      <c r="M193" t="s">
        <v>52</v>
      </c>
      <c r="N193">
        <f>SUM(I192:I206)</f>
        <v>6</v>
      </c>
      <c r="O193" t="s">
        <v>195</v>
      </c>
      <c r="P193">
        <f>COUNTIF(C192:C206,O193)</f>
        <v>2</v>
      </c>
    </row>
    <row r="194" spans="1:16" x14ac:dyDescent="0.2">
      <c r="A194" s="1">
        <v>45763</v>
      </c>
      <c r="B194" t="s">
        <v>194</v>
      </c>
      <c r="C194" t="s">
        <v>195</v>
      </c>
      <c r="D194">
        <v>34</v>
      </c>
      <c r="E194">
        <v>1</v>
      </c>
      <c r="F194">
        <v>0</v>
      </c>
      <c r="G194">
        <v>0</v>
      </c>
      <c r="H194">
        <v>0</v>
      </c>
      <c r="I194">
        <v>1</v>
      </c>
      <c r="K194" t="s">
        <v>191</v>
      </c>
      <c r="L194">
        <f>SUM(F192:F206)</f>
        <v>9</v>
      </c>
      <c r="M194" t="s">
        <v>192</v>
      </c>
      <c r="N194">
        <f>COUNTIF(B192:B206,M194)</f>
        <v>5</v>
      </c>
      <c r="O194" t="s">
        <v>204</v>
      </c>
      <c r="P194" s="20">
        <f>AVERAGE(D192:D206)</f>
        <v>40.733333333333334</v>
      </c>
    </row>
    <row r="195" spans="1:16" x14ac:dyDescent="0.2">
      <c r="A195" s="1">
        <v>45763</v>
      </c>
      <c r="B195" t="s">
        <v>194</v>
      </c>
      <c r="C195" t="s">
        <v>193</v>
      </c>
      <c r="D195">
        <v>45</v>
      </c>
      <c r="E195">
        <v>2</v>
      </c>
      <c r="F195">
        <v>1</v>
      </c>
      <c r="G195">
        <v>1</v>
      </c>
      <c r="H195">
        <v>0</v>
      </c>
      <c r="I195">
        <v>0</v>
      </c>
      <c r="K195" t="s">
        <v>86</v>
      </c>
      <c r="L195">
        <f>SUM(G192:G206)</f>
        <v>3</v>
      </c>
      <c r="M195" t="s">
        <v>194</v>
      </c>
      <c r="N195">
        <f>COUNTIF(B192:B206,M195)</f>
        <v>10</v>
      </c>
    </row>
    <row r="196" spans="1:16" x14ac:dyDescent="0.2">
      <c r="A196" s="1">
        <v>45763</v>
      </c>
      <c r="B196" t="s">
        <v>192</v>
      </c>
      <c r="C196" t="s">
        <v>193</v>
      </c>
      <c r="D196">
        <v>48</v>
      </c>
      <c r="E196">
        <v>1</v>
      </c>
      <c r="F196">
        <v>1</v>
      </c>
      <c r="G196">
        <v>0</v>
      </c>
      <c r="H196">
        <v>0</v>
      </c>
      <c r="I196">
        <v>0</v>
      </c>
      <c r="K196" t="s">
        <v>87</v>
      </c>
      <c r="L196">
        <f>SUM(H192:H206)</f>
        <v>2</v>
      </c>
      <c r="M196" t="s">
        <v>193</v>
      </c>
      <c r="N196">
        <f>COUNTIF(C192:C206,M196)</f>
        <v>13</v>
      </c>
    </row>
    <row r="197" spans="1:16" x14ac:dyDescent="0.2">
      <c r="A197" s="1">
        <v>45763</v>
      </c>
      <c r="B197" t="s">
        <v>192</v>
      </c>
      <c r="C197" t="s">
        <v>195</v>
      </c>
      <c r="D197">
        <v>34</v>
      </c>
      <c r="E197">
        <v>0</v>
      </c>
      <c r="F197">
        <v>0</v>
      </c>
      <c r="G197">
        <v>0</v>
      </c>
      <c r="H197">
        <v>0</v>
      </c>
      <c r="I197">
        <v>0</v>
      </c>
      <c r="J197" t="s">
        <v>365</v>
      </c>
    </row>
    <row r="198" spans="1:16" x14ac:dyDescent="0.2">
      <c r="A198" s="1">
        <v>45763</v>
      </c>
      <c r="B198" t="s">
        <v>194</v>
      </c>
      <c r="C198" t="s">
        <v>193</v>
      </c>
      <c r="D198">
        <v>40</v>
      </c>
      <c r="E198">
        <v>4</v>
      </c>
      <c r="F198">
        <v>1</v>
      </c>
      <c r="G198">
        <v>0</v>
      </c>
      <c r="H198">
        <v>0</v>
      </c>
      <c r="I198">
        <v>3</v>
      </c>
    </row>
    <row r="199" spans="1:16" x14ac:dyDescent="0.2">
      <c r="A199" s="1">
        <v>45763</v>
      </c>
      <c r="B199" t="s">
        <v>194</v>
      </c>
      <c r="C199" t="s">
        <v>193</v>
      </c>
      <c r="D199">
        <v>32</v>
      </c>
      <c r="E199">
        <v>0</v>
      </c>
      <c r="F199">
        <v>0</v>
      </c>
      <c r="G199">
        <v>0</v>
      </c>
      <c r="H199">
        <v>0</v>
      </c>
      <c r="I199">
        <v>0</v>
      </c>
      <c r="J199" t="s">
        <v>366</v>
      </c>
    </row>
    <row r="200" spans="1:16" x14ac:dyDescent="0.2">
      <c r="A200" s="1">
        <v>45763</v>
      </c>
      <c r="B200" t="s">
        <v>194</v>
      </c>
      <c r="C200" t="s">
        <v>193</v>
      </c>
      <c r="D200">
        <v>40</v>
      </c>
      <c r="E200">
        <v>2</v>
      </c>
      <c r="F200">
        <v>0</v>
      </c>
      <c r="G200">
        <v>0</v>
      </c>
      <c r="H200">
        <v>1</v>
      </c>
      <c r="I200">
        <v>1</v>
      </c>
    </row>
    <row r="201" spans="1:16" x14ac:dyDescent="0.2">
      <c r="A201" s="1">
        <v>45763</v>
      </c>
      <c r="B201" t="s">
        <v>194</v>
      </c>
      <c r="C201" t="s">
        <v>193</v>
      </c>
      <c r="D201">
        <v>46</v>
      </c>
      <c r="E201">
        <v>2</v>
      </c>
      <c r="F201">
        <v>1</v>
      </c>
      <c r="G201">
        <v>1</v>
      </c>
      <c r="H201">
        <v>0</v>
      </c>
      <c r="I201">
        <v>0</v>
      </c>
    </row>
    <row r="202" spans="1:16" x14ac:dyDescent="0.2">
      <c r="A202" s="1">
        <v>45763</v>
      </c>
      <c r="B202" t="s">
        <v>192</v>
      </c>
      <c r="C202" t="s">
        <v>193</v>
      </c>
      <c r="D202">
        <v>55</v>
      </c>
      <c r="E202">
        <v>1</v>
      </c>
      <c r="F202">
        <v>0</v>
      </c>
      <c r="G202">
        <v>0</v>
      </c>
      <c r="H202">
        <v>0</v>
      </c>
      <c r="I202">
        <v>1</v>
      </c>
    </row>
    <row r="203" spans="1:16" x14ac:dyDescent="0.2">
      <c r="A203" s="1">
        <v>45763</v>
      </c>
      <c r="B203" t="s">
        <v>194</v>
      </c>
      <c r="C203" t="s">
        <v>193</v>
      </c>
      <c r="D203">
        <v>36</v>
      </c>
      <c r="E203">
        <v>1</v>
      </c>
      <c r="F203">
        <v>1</v>
      </c>
      <c r="G203">
        <v>0</v>
      </c>
      <c r="H203">
        <v>0</v>
      </c>
      <c r="I203">
        <v>0</v>
      </c>
    </row>
    <row r="204" spans="1:16" x14ac:dyDescent="0.2">
      <c r="A204" s="1">
        <v>45763</v>
      </c>
      <c r="B204" t="s">
        <v>192</v>
      </c>
      <c r="C204" t="s">
        <v>193</v>
      </c>
      <c r="D204">
        <v>35</v>
      </c>
      <c r="E204">
        <v>1</v>
      </c>
      <c r="F204">
        <v>1</v>
      </c>
      <c r="G204">
        <v>0</v>
      </c>
      <c r="H204">
        <v>0</v>
      </c>
      <c r="I204">
        <v>0</v>
      </c>
    </row>
    <row r="205" spans="1:16" x14ac:dyDescent="0.2">
      <c r="A205" s="1">
        <v>45763</v>
      </c>
      <c r="B205" t="s">
        <v>194</v>
      </c>
      <c r="C205" t="s">
        <v>193</v>
      </c>
      <c r="D205">
        <v>22</v>
      </c>
      <c r="E205">
        <v>2</v>
      </c>
      <c r="F205">
        <v>1</v>
      </c>
      <c r="G205">
        <v>1</v>
      </c>
      <c r="H205">
        <v>0</v>
      </c>
      <c r="I205">
        <v>0</v>
      </c>
    </row>
    <row r="206" spans="1:16" x14ac:dyDescent="0.2">
      <c r="A206" s="33">
        <v>45763</v>
      </c>
      <c r="B206" s="34" t="s">
        <v>194</v>
      </c>
      <c r="C206" s="34" t="s">
        <v>193</v>
      </c>
      <c r="D206" s="34">
        <v>50</v>
      </c>
      <c r="E206" s="34">
        <v>1</v>
      </c>
      <c r="F206" s="34">
        <v>1</v>
      </c>
      <c r="G206" s="34">
        <v>0</v>
      </c>
      <c r="H206" s="34">
        <v>0</v>
      </c>
      <c r="I206" s="34">
        <v>0</v>
      </c>
      <c r="J206" s="34"/>
      <c r="K206" s="34"/>
      <c r="L206" s="34"/>
      <c r="M206" s="34"/>
      <c r="N206" s="34"/>
      <c r="O206" s="34"/>
      <c r="P206" s="34"/>
    </row>
    <row r="207" spans="1:16" x14ac:dyDescent="0.2">
      <c r="A207" s="1">
        <v>45777</v>
      </c>
      <c r="B207" t="s">
        <v>194</v>
      </c>
      <c r="C207" t="s">
        <v>193</v>
      </c>
      <c r="D207">
        <v>43</v>
      </c>
      <c r="E207">
        <v>1</v>
      </c>
      <c r="F207">
        <v>1</v>
      </c>
      <c r="G207">
        <v>0</v>
      </c>
      <c r="H207">
        <v>0</v>
      </c>
      <c r="I207">
        <v>0</v>
      </c>
    </row>
    <row r="208" spans="1:16" x14ac:dyDescent="0.2">
      <c r="A208" s="1">
        <v>45777</v>
      </c>
      <c r="B208" t="s">
        <v>194</v>
      </c>
      <c r="C208" t="s">
        <v>193</v>
      </c>
      <c r="D208">
        <v>45</v>
      </c>
      <c r="E208">
        <v>0</v>
      </c>
      <c r="F208">
        <v>0</v>
      </c>
      <c r="G208">
        <v>0</v>
      </c>
      <c r="H208">
        <v>0</v>
      </c>
      <c r="I208">
        <v>0</v>
      </c>
      <c r="J208" t="s">
        <v>386</v>
      </c>
      <c r="K208" t="s">
        <v>25</v>
      </c>
      <c r="L208">
        <f>SUM(E207:E219)</f>
        <v>14</v>
      </c>
      <c r="M208" t="s">
        <v>52</v>
      </c>
      <c r="N208">
        <f>SUM(I207:I219)</f>
        <v>0</v>
      </c>
      <c r="O208" t="s">
        <v>195</v>
      </c>
      <c r="P208">
        <f>COUNTIF(C207:C219,O208)</f>
        <v>2</v>
      </c>
    </row>
    <row r="209" spans="1:16" x14ac:dyDescent="0.2">
      <c r="A209" s="1">
        <v>45777</v>
      </c>
      <c r="B209" t="s">
        <v>194</v>
      </c>
      <c r="C209" t="s">
        <v>193</v>
      </c>
      <c r="D209">
        <v>48</v>
      </c>
      <c r="E209">
        <v>1</v>
      </c>
      <c r="F209">
        <v>1</v>
      </c>
      <c r="G209">
        <v>0</v>
      </c>
      <c r="H209">
        <v>0</v>
      </c>
      <c r="I209">
        <v>0</v>
      </c>
      <c r="K209" t="s">
        <v>191</v>
      </c>
      <c r="L209">
        <f>SUM(F207:F219)</f>
        <v>7</v>
      </c>
      <c r="M209" t="s">
        <v>192</v>
      </c>
      <c r="N209">
        <f>COUNTIF(B207:B219,M209)</f>
        <v>2</v>
      </c>
      <c r="O209" t="s">
        <v>204</v>
      </c>
      <c r="P209" s="20">
        <f>AVERAGE(D207:D219)</f>
        <v>41.53846153846154</v>
      </c>
    </row>
    <row r="210" spans="1:16" x14ac:dyDescent="0.2">
      <c r="A210" s="1">
        <v>45777</v>
      </c>
      <c r="B210" t="s">
        <v>194</v>
      </c>
      <c r="C210" t="s">
        <v>195</v>
      </c>
      <c r="D210">
        <v>34</v>
      </c>
      <c r="E210">
        <v>0</v>
      </c>
      <c r="F210">
        <v>0</v>
      </c>
      <c r="G210">
        <v>0</v>
      </c>
      <c r="H210">
        <v>0</v>
      </c>
      <c r="I210">
        <v>0</v>
      </c>
      <c r="J210" t="s">
        <v>387</v>
      </c>
      <c r="K210" t="s">
        <v>86</v>
      </c>
      <c r="L210">
        <f>SUM(G207:G219)</f>
        <v>4</v>
      </c>
      <c r="M210" t="s">
        <v>194</v>
      </c>
      <c r="N210">
        <f>COUNTIF(B207:B219,M210)</f>
        <v>11</v>
      </c>
    </row>
    <row r="211" spans="1:16" x14ac:dyDescent="0.2">
      <c r="A211" s="1">
        <v>45777</v>
      </c>
      <c r="B211" t="s">
        <v>194</v>
      </c>
      <c r="C211" t="s">
        <v>193</v>
      </c>
      <c r="D211">
        <v>54</v>
      </c>
      <c r="E211">
        <v>1</v>
      </c>
      <c r="F211">
        <v>0</v>
      </c>
      <c r="G211">
        <v>0</v>
      </c>
      <c r="H211">
        <v>1</v>
      </c>
      <c r="I211">
        <v>0</v>
      </c>
      <c r="K211" t="s">
        <v>87</v>
      </c>
      <c r="L211">
        <f>SUM(H207:H219)</f>
        <v>3</v>
      </c>
      <c r="M211" t="s">
        <v>193</v>
      </c>
      <c r="N211">
        <f>COUNTIF(C207:C219,M211)</f>
        <v>11</v>
      </c>
    </row>
    <row r="212" spans="1:16" x14ac:dyDescent="0.2">
      <c r="A212" s="1">
        <v>45777</v>
      </c>
      <c r="B212" t="s">
        <v>194</v>
      </c>
      <c r="C212" t="s">
        <v>193</v>
      </c>
      <c r="D212">
        <v>44</v>
      </c>
      <c r="E212">
        <v>1</v>
      </c>
      <c r="F212">
        <v>0</v>
      </c>
      <c r="G212">
        <v>0</v>
      </c>
      <c r="H212">
        <v>1</v>
      </c>
      <c r="I212">
        <v>0</v>
      </c>
    </row>
    <row r="213" spans="1:16" x14ac:dyDescent="0.2">
      <c r="A213" s="1">
        <v>45777</v>
      </c>
      <c r="B213" t="s">
        <v>194</v>
      </c>
      <c r="C213" t="s">
        <v>193</v>
      </c>
      <c r="D213">
        <v>42</v>
      </c>
      <c r="E213">
        <v>0</v>
      </c>
      <c r="F213">
        <v>0</v>
      </c>
      <c r="G213">
        <v>0</v>
      </c>
      <c r="H213">
        <v>0</v>
      </c>
      <c r="I213">
        <v>0</v>
      </c>
      <c r="J213" t="s">
        <v>388</v>
      </c>
    </row>
    <row r="214" spans="1:16" x14ac:dyDescent="0.2">
      <c r="A214" s="1">
        <v>45777</v>
      </c>
      <c r="B214" t="s">
        <v>194</v>
      </c>
      <c r="C214" t="s">
        <v>193</v>
      </c>
      <c r="D214">
        <v>22</v>
      </c>
      <c r="E214">
        <v>4</v>
      </c>
      <c r="F214">
        <v>1</v>
      </c>
      <c r="G214">
        <v>3</v>
      </c>
      <c r="H214">
        <v>0</v>
      </c>
      <c r="I214">
        <v>0</v>
      </c>
    </row>
    <row r="215" spans="1:16" x14ac:dyDescent="0.2">
      <c r="A215" s="1">
        <v>45777</v>
      </c>
      <c r="B215" t="s">
        <v>194</v>
      </c>
      <c r="C215" t="s">
        <v>193</v>
      </c>
      <c r="D215">
        <v>43</v>
      </c>
      <c r="E215">
        <v>2</v>
      </c>
      <c r="F215">
        <v>2</v>
      </c>
      <c r="G215">
        <v>0</v>
      </c>
      <c r="H215">
        <v>0</v>
      </c>
      <c r="I215">
        <v>0</v>
      </c>
    </row>
    <row r="216" spans="1:16" x14ac:dyDescent="0.2">
      <c r="A216" s="1">
        <v>45777</v>
      </c>
      <c r="B216" t="s">
        <v>194</v>
      </c>
      <c r="C216" t="s">
        <v>193</v>
      </c>
      <c r="D216">
        <v>45</v>
      </c>
      <c r="E216">
        <v>0</v>
      </c>
      <c r="F216">
        <v>0</v>
      </c>
      <c r="G216">
        <v>0</v>
      </c>
      <c r="H216">
        <v>0</v>
      </c>
      <c r="I216">
        <v>0</v>
      </c>
      <c r="J216" t="s">
        <v>389</v>
      </c>
    </row>
    <row r="217" spans="1:16" x14ac:dyDescent="0.2">
      <c r="A217" s="1">
        <v>45777</v>
      </c>
      <c r="B217" t="s">
        <v>194</v>
      </c>
      <c r="C217" t="s">
        <v>193</v>
      </c>
      <c r="D217">
        <v>36</v>
      </c>
      <c r="E217">
        <v>1</v>
      </c>
      <c r="F217">
        <v>1</v>
      </c>
      <c r="G217">
        <v>0</v>
      </c>
      <c r="H217">
        <v>0</v>
      </c>
      <c r="I217">
        <v>0</v>
      </c>
    </row>
    <row r="218" spans="1:16" x14ac:dyDescent="0.2">
      <c r="A218" s="1">
        <v>45777</v>
      </c>
      <c r="B218" t="s">
        <v>192</v>
      </c>
      <c r="C218" t="s">
        <v>195</v>
      </c>
      <c r="D218">
        <v>36</v>
      </c>
      <c r="E218">
        <v>2</v>
      </c>
      <c r="F218">
        <v>1</v>
      </c>
      <c r="G218">
        <v>1</v>
      </c>
      <c r="H218">
        <v>0</v>
      </c>
      <c r="I218">
        <v>0</v>
      </c>
    </row>
    <row r="219" spans="1:16" x14ac:dyDescent="0.2">
      <c r="A219" s="33">
        <v>45777</v>
      </c>
      <c r="B219" s="34" t="s">
        <v>192</v>
      </c>
      <c r="C219" s="34" t="s">
        <v>193</v>
      </c>
      <c r="D219" s="34">
        <v>48</v>
      </c>
      <c r="E219" s="34">
        <v>1</v>
      </c>
      <c r="F219" s="34">
        <v>0</v>
      </c>
      <c r="G219" s="34">
        <v>0</v>
      </c>
      <c r="H219" s="34">
        <v>1</v>
      </c>
      <c r="I219" s="34">
        <v>0</v>
      </c>
      <c r="J219" s="34"/>
      <c r="K219" s="34"/>
      <c r="L219" s="34"/>
      <c r="M219" s="34"/>
      <c r="N219" s="34"/>
      <c r="O219" s="34"/>
      <c r="P219" s="34"/>
    </row>
    <row r="220" spans="1:16" x14ac:dyDescent="0.2">
      <c r="A220" s="1">
        <v>45791</v>
      </c>
      <c r="B220" t="s">
        <v>194</v>
      </c>
      <c r="C220" t="s">
        <v>193</v>
      </c>
      <c r="D220">
        <v>32</v>
      </c>
      <c r="E220">
        <v>1</v>
      </c>
      <c r="F220">
        <v>0</v>
      </c>
      <c r="G220">
        <v>0</v>
      </c>
      <c r="H220">
        <v>1</v>
      </c>
      <c r="I220">
        <v>0</v>
      </c>
    </row>
    <row r="221" spans="1:16" x14ac:dyDescent="0.2">
      <c r="A221" s="1">
        <v>45791</v>
      </c>
      <c r="B221" t="s">
        <v>194</v>
      </c>
      <c r="C221" t="s">
        <v>193</v>
      </c>
      <c r="D221">
        <v>22</v>
      </c>
      <c r="E221">
        <v>2</v>
      </c>
      <c r="F221">
        <v>1</v>
      </c>
      <c r="G221">
        <v>1</v>
      </c>
      <c r="H221">
        <v>0</v>
      </c>
      <c r="I221">
        <v>0</v>
      </c>
      <c r="K221" t="s">
        <v>25</v>
      </c>
      <c r="L221">
        <f>SUM(E220:E227)</f>
        <v>11</v>
      </c>
      <c r="M221" t="s">
        <v>52</v>
      </c>
      <c r="N221">
        <f>SUM(I220:I227)</f>
        <v>0</v>
      </c>
      <c r="O221" t="s">
        <v>195</v>
      </c>
      <c r="P221">
        <f>COUNTIF(C220:C227,O221)</f>
        <v>0</v>
      </c>
    </row>
    <row r="222" spans="1:16" x14ac:dyDescent="0.2">
      <c r="A222" s="1">
        <v>45791</v>
      </c>
      <c r="B222" t="s">
        <v>192</v>
      </c>
      <c r="C222" t="s">
        <v>193</v>
      </c>
      <c r="D222">
        <v>49</v>
      </c>
      <c r="E222">
        <v>1</v>
      </c>
      <c r="F222">
        <v>1</v>
      </c>
      <c r="G222">
        <v>0</v>
      </c>
      <c r="H222">
        <v>0</v>
      </c>
      <c r="I222">
        <v>0</v>
      </c>
      <c r="K222" t="s">
        <v>191</v>
      </c>
      <c r="L222">
        <f>SUM(F220:F227)</f>
        <v>7</v>
      </c>
      <c r="M222" t="s">
        <v>192</v>
      </c>
      <c r="N222">
        <f>COUNTIF(B220:B227,M222)</f>
        <v>4</v>
      </c>
      <c r="O222" t="s">
        <v>204</v>
      </c>
      <c r="P222" s="20">
        <f>AVERAGE(D220:D227)</f>
        <v>40.125</v>
      </c>
    </row>
    <row r="223" spans="1:16" x14ac:dyDescent="0.2">
      <c r="A223" s="1">
        <v>45791</v>
      </c>
      <c r="B223" t="s">
        <v>192</v>
      </c>
      <c r="C223" t="s">
        <v>193</v>
      </c>
      <c r="D223">
        <v>46</v>
      </c>
      <c r="E223">
        <v>2</v>
      </c>
      <c r="F223">
        <v>2</v>
      </c>
      <c r="G223">
        <v>0</v>
      </c>
      <c r="H223">
        <v>0</v>
      </c>
      <c r="I223">
        <v>0</v>
      </c>
      <c r="K223" t="s">
        <v>86</v>
      </c>
      <c r="L223">
        <f>SUM(G220:G227)</f>
        <v>3</v>
      </c>
      <c r="M223" t="s">
        <v>194</v>
      </c>
      <c r="N223">
        <f>COUNTIF(B220:B227,M223)</f>
        <v>4</v>
      </c>
    </row>
    <row r="224" spans="1:16" x14ac:dyDescent="0.2">
      <c r="A224" s="1">
        <v>45791</v>
      </c>
      <c r="B224" t="s">
        <v>194</v>
      </c>
      <c r="C224" t="s">
        <v>193</v>
      </c>
      <c r="D224">
        <v>37</v>
      </c>
      <c r="E224">
        <v>2</v>
      </c>
      <c r="F224">
        <v>1</v>
      </c>
      <c r="G224">
        <v>1</v>
      </c>
      <c r="H224">
        <v>0</v>
      </c>
      <c r="I224">
        <v>0</v>
      </c>
      <c r="K224" t="s">
        <v>87</v>
      </c>
      <c r="L224">
        <f>SUM(H220:H227)</f>
        <v>1</v>
      </c>
      <c r="M224" t="s">
        <v>193</v>
      </c>
      <c r="N224">
        <f>COUNTIF(C220:C227,M224)</f>
        <v>8</v>
      </c>
    </row>
    <row r="225" spans="1:20" x14ac:dyDescent="0.2">
      <c r="A225" s="1">
        <v>45791</v>
      </c>
      <c r="B225" t="s">
        <v>192</v>
      </c>
      <c r="C225" t="s">
        <v>193</v>
      </c>
      <c r="D225">
        <v>46</v>
      </c>
      <c r="E225">
        <v>1</v>
      </c>
      <c r="F225">
        <v>0</v>
      </c>
      <c r="G225">
        <v>1</v>
      </c>
      <c r="H225">
        <v>0</v>
      </c>
      <c r="I225">
        <v>0</v>
      </c>
    </row>
    <row r="226" spans="1:20" x14ac:dyDescent="0.2">
      <c r="A226" s="1">
        <v>45791</v>
      </c>
      <c r="B226" t="s">
        <v>194</v>
      </c>
      <c r="C226" t="s">
        <v>193</v>
      </c>
      <c r="D226">
        <v>36</v>
      </c>
      <c r="E226">
        <v>1</v>
      </c>
      <c r="F226">
        <v>1</v>
      </c>
      <c r="G226">
        <v>0</v>
      </c>
      <c r="H226">
        <v>0</v>
      </c>
      <c r="I226">
        <v>0</v>
      </c>
    </row>
    <row r="227" spans="1:20" x14ac:dyDescent="0.2">
      <c r="A227" s="33">
        <v>45791</v>
      </c>
      <c r="B227" s="34" t="s">
        <v>192</v>
      </c>
      <c r="C227" s="34" t="s">
        <v>193</v>
      </c>
      <c r="D227" s="34">
        <v>53</v>
      </c>
      <c r="E227" s="34">
        <v>1</v>
      </c>
      <c r="F227" s="34">
        <v>1</v>
      </c>
      <c r="G227" s="34">
        <v>0</v>
      </c>
      <c r="H227" s="34">
        <v>0</v>
      </c>
      <c r="I227" s="34">
        <v>0</v>
      </c>
      <c r="J227" s="34"/>
      <c r="K227" s="34"/>
      <c r="L227" s="34"/>
      <c r="M227" s="34"/>
      <c r="N227" s="34"/>
      <c r="O227" s="34"/>
      <c r="P227" s="34"/>
    </row>
    <row r="228" spans="1:20" x14ac:dyDescent="0.2">
      <c r="A228" s="1">
        <v>45805</v>
      </c>
      <c r="B228" t="s">
        <v>194</v>
      </c>
      <c r="C228" t="s">
        <v>193</v>
      </c>
      <c r="D228">
        <v>35</v>
      </c>
      <c r="E228">
        <v>1</v>
      </c>
      <c r="F228">
        <v>0</v>
      </c>
      <c r="G228">
        <v>1</v>
      </c>
      <c r="H228">
        <v>0</v>
      </c>
      <c r="I228">
        <v>0</v>
      </c>
    </row>
    <row r="229" spans="1:20" x14ac:dyDescent="0.2">
      <c r="A229" s="1">
        <v>45805</v>
      </c>
      <c r="B229" t="s">
        <v>192</v>
      </c>
      <c r="C229" t="s">
        <v>193</v>
      </c>
      <c r="D229">
        <v>45</v>
      </c>
      <c r="E229">
        <v>1</v>
      </c>
      <c r="F229">
        <v>1</v>
      </c>
      <c r="G229">
        <v>0</v>
      </c>
      <c r="H229">
        <v>0</v>
      </c>
      <c r="I229">
        <v>0</v>
      </c>
      <c r="K229" t="s">
        <v>25</v>
      </c>
      <c r="L229">
        <f>SUM(E228:E237)</f>
        <v>14</v>
      </c>
      <c r="M229" t="s">
        <v>52</v>
      </c>
      <c r="N229">
        <f>SUM(I228:I237)</f>
        <v>0</v>
      </c>
      <c r="O229" t="s">
        <v>195</v>
      </c>
      <c r="P229">
        <f>COUNTIF(C228:C237,O229)</f>
        <v>0</v>
      </c>
    </row>
    <row r="230" spans="1:20" x14ac:dyDescent="0.2">
      <c r="A230" s="1">
        <v>45805</v>
      </c>
      <c r="B230" t="s">
        <v>194</v>
      </c>
      <c r="C230" t="s">
        <v>193</v>
      </c>
      <c r="D230">
        <v>22</v>
      </c>
      <c r="E230">
        <v>2</v>
      </c>
      <c r="F230">
        <v>1</v>
      </c>
      <c r="G230">
        <v>1</v>
      </c>
      <c r="H230">
        <v>0</v>
      </c>
      <c r="I230">
        <v>0</v>
      </c>
      <c r="K230" t="s">
        <v>191</v>
      </c>
      <c r="L230">
        <f>SUM(F228:F237)</f>
        <v>8</v>
      </c>
      <c r="M230" t="s">
        <v>192</v>
      </c>
      <c r="N230">
        <f>COUNTIF(B228:B237,M230)</f>
        <v>3</v>
      </c>
      <c r="O230" t="s">
        <v>204</v>
      </c>
      <c r="P230">
        <f>AVERAGE(D228:D237)</f>
        <v>40.1</v>
      </c>
    </row>
    <row r="231" spans="1:20" x14ac:dyDescent="0.2">
      <c r="A231" s="1">
        <v>45805</v>
      </c>
      <c r="B231" t="s">
        <v>194</v>
      </c>
      <c r="C231" t="s">
        <v>193</v>
      </c>
      <c r="D231">
        <v>57</v>
      </c>
      <c r="E231">
        <v>1</v>
      </c>
      <c r="F231">
        <v>1</v>
      </c>
      <c r="G231">
        <v>0</v>
      </c>
      <c r="H231">
        <v>0</v>
      </c>
      <c r="I231">
        <v>0</v>
      </c>
      <c r="K231" t="s">
        <v>86</v>
      </c>
      <c r="L231">
        <f>SUM(G228:G237)</f>
        <v>5</v>
      </c>
      <c r="M231" t="s">
        <v>194</v>
      </c>
      <c r="N231">
        <f>COUNTIF(B228:B237,M231)</f>
        <v>7</v>
      </c>
    </row>
    <row r="232" spans="1:20" x14ac:dyDescent="0.2">
      <c r="A232" s="1">
        <v>45805</v>
      </c>
      <c r="B232" t="s">
        <v>194</v>
      </c>
      <c r="C232" t="s">
        <v>193</v>
      </c>
      <c r="D232">
        <v>32</v>
      </c>
      <c r="E232">
        <v>1</v>
      </c>
      <c r="F232">
        <v>1</v>
      </c>
      <c r="G232">
        <v>0</v>
      </c>
      <c r="H232">
        <v>0</v>
      </c>
      <c r="I232">
        <v>0</v>
      </c>
      <c r="K232" t="s">
        <v>87</v>
      </c>
      <c r="L232">
        <f>SUM(H228:H237)</f>
        <v>1</v>
      </c>
      <c r="M232" t="s">
        <v>193</v>
      </c>
      <c r="N232">
        <f>COUNTIF(C228:C237,M232)</f>
        <v>10</v>
      </c>
    </row>
    <row r="233" spans="1:20" x14ac:dyDescent="0.2">
      <c r="A233" s="1">
        <v>45805</v>
      </c>
      <c r="B233" t="s">
        <v>192</v>
      </c>
      <c r="C233" t="s">
        <v>193</v>
      </c>
      <c r="D233">
        <v>30</v>
      </c>
      <c r="E233">
        <v>2</v>
      </c>
      <c r="F233">
        <v>1</v>
      </c>
      <c r="G233">
        <v>1</v>
      </c>
      <c r="H233">
        <v>0</v>
      </c>
      <c r="I233">
        <v>0</v>
      </c>
    </row>
    <row r="234" spans="1:20" x14ac:dyDescent="0.2">
      <c r="A234" s="1">
        <v>45805</v>
      </c>
      <c r="B234" t="s">
        <v>192</v>
      </c>
      <c r="C234" t="s">
        <v>193</v>
      </c>
      <c r="D234">
        <v>55</v>
      </c>
      <c r="E234">
        <v>2</v>
      </c>
      <c r="F234">
        <v>1</v>
      </c>
      <c r="G234">
        <v>1</v>
      </c>
      <c r="H234">
        <v>0</v>
      </c>
      <c r="I234">
        <v>0</v>
      </c>
    </row>
    <row r="235" spans="1:20" x14ac:dyDescent="0.2">
      <c r="A235" s="1">
        <v>45805</v>
      </c>
      <c r="B235" t="s">
        <v>194</v>
      </c>
      <c r="C235" t="s">
        <v>193</v>
      </c>
      <c r="D235">
        <v>38</v>
      </c>
      <c r="E235">
        <v>1</v>
      </c>
      <c r="F235">
        <v>0</v>
      </c>
      <c r="G235">
        <v>0</v>
      </c>
      <c r="H235">
        <v>1</v>
      </c>
      <c r="I235">
        <v>0</v>
      </c>
    </row>
    <row r="236" spans="1:20" x14ac:dyDescent="0.2">
      <c r="A236" s="1">
        <v>45805</v>
      </c>
      <c r="B236" t="s">
        <v>194</v>
      </c>
      <c r="C236" t="s">
        <v>193</v>
      </c>
      <c r="D236">
        <v>47</v>
      </c>
      <c r="E236">
        <v>1</v>
      </c>
      <c r="F236">
        <v>1</v>
      </c>
      <c r="G236">
        <v>0</v>
      </c>
      <c r="H236">
        <v>0</v>
      </c>
      <c r="I236">
        <v>0</v>
      </c>
    </row>
    <row r="237" spans="1:20" x14ac:dyDescent="0.2">
      <c r="A237" s="33">
        <v>45805</v>
      </c>
      <c r="B237" s="34" t="s">
        <v>194</v>
      </c>
      <c r="C237" s="34" t="s">
        <v>193</v>
      </c>
      <c r="D237" s="34">
        <v>40</v>
      </c>
      <c r="E237" s="34">
        <v>2</v>
      </c>
      <c r="F237" s="34">
        <v>1</v>
      </c>
      <c r="G237" s="34">
        <v>1</v>
      </c>
      <c r="H237" s="34">
        <v>0</v>
      </c>
      <c r="I237" s="34">
        <v>0</v>
      </c>
      <c r="J237" s="34"/>
      <c r="K237" s="34"/>
      <c r="L237" s="34"/>
      <c r="M237" s="34"/>
      <c r="N237" s="34"/>
      <c r="O237" s="34"/>
      <c r="P237" s="34"/>
    </row>
    <row r="238" spans="1:20" x14ac:dyDescent="0.2">
      <c r="A238" s="1">
        <v>45819</v>
      </c>
      <c r="B238" t="s">
        <v>194</v>
      </c>
      <c r="C238" t="s">
        <v>195</v>
      </c>
      <c r="D238">
        <v>43</v>
      </c>
      <c r="E238">
        <v>3</v>
      </c>
      <c r="F238">
        <v>0</v>
      </c>
      <c r="G238">
        <v>0</v>
      </c>
      <c r="H238">
        <v>1</v>
      </c>
      <c r="I238">
        <v>2</v>
      </c>
    </row>
    <row r="239" spans="1:20" x14ac:dyDescent="0.2">
      <c r="A239" s="1">
        <v>45819</v>
      </c>
      <c r="B239" t="s">
        <v>194</v>
      </c>
      <c r="C239" t="s">
        <v>193</v>
      </c>
      <c r="D239">
        <v>29</v>
      </c>
      <c r="E239">
        <v>1</v>
      </c>
      <c r="F239">
        <v>1</v>
      </c>
      <c r="G239">
        <v>0</v>
      </c>
      <c r="H239">
        <v>0</v>
      </c>
      <c r="I239">
        <v>0</v>
      </c>
      <c r="K239" t="s">
        <v>25</v>
      </c>
      <c r="L239">
        <f>SUM(E238:E240)</f>
        <v>6</v>
      </c>
      <c r="M239" t="s">
        <v>52</v>
      </c>
      <c r="N239">
        <f>SUM(I238:I240)</f>
        <v>2</v>
      </c>
      <c r="O239" t="s">
        <v>195</v>
      </c>
      <c r="P239">
        <f>COUNTIF(C238:C240,O239)</f>
        <v>1</v>
      </c>
      <c r="Q239" t="s">
        <v>86</v>
      </c>
      <c r="R239">
        <f>SUM(G238:G240)</f>
        <v>1</v>
      </c>
      <c r="S239" t="s">
        <v>194</v>
      </c>
      <c r="T239">
        <f>COUNTIF(B238:B240,S239)</f>
        <v>3</v>
      </c>
    </row>
    <row r="240" spans="1:20" x14ac:dyDescent="0.2">
      <c r="A240" s="33">
        <v>45819</v>
      </c>
      <c r="B240" s="34" t="s">
        <v>194</v>
      </c>
      <c r="C240" s="34" t="s">
        <v>193</v>
      </c>
      <c r="D240" s="34">
        <v>22</v>
      </c>
      <c r="E240" s="34">
        <v>2</v>
      </c>
      <c r="F240" s="34">
        <v>1</v>
      </c>
      <c r="G240" s="34">
        <v>1</v>
      </c>
      <c r="H240" s="34">
        <v>0</v>
      </c>
      <c r="I240" s="34">
        <v>0</v>
      </c>
      <c r="J240" s="34"/>
      <c r="K240" s="34" t="s">
        <v>191</v>
      </c>
      <c r="L240" s="34">
        <f>SUM(F238:F240)</f>
        <v>2</v>
      </c>
      <c r="M240" s="34" t="s">
        <v>192</v>
      </c>
      <c r="N240" s="34">
        <f>COUNTIF(B238:B240,M240)</f>
        <v>0</v>
      </c>
      <c r="O240" s="34" t="s">
        <v>204</v>
      </c>
      <c r="P240" s="34">
        <f>AVERAGE(D238:D240)</f>
        <v>31.333333333333332</v>
      </c>
      <c r="Q240" t="s">
        <v>87</v>
      </c>
      <c r="R240">
        <f>SUM(H238:H240)</f>
        <v>1</v>
      </c>
      <c r="S240" t="s">
        <v>193</v>
      </c>
      <c r="T240">
        <f>COUNTIF(C238:C240,S240)</f>
        <v>2</v>
      </c>
    </row>
    <row r="241" spans="1:16" x14ac:dyDescent="0.2">
      <c r="A241" s="1">
        <v>45833</v>
      </c>
      <c r="B241" t="s">
        <v>192</v>
      </c>
      <c r="C241" t="s">
        <v>193</v>
      </c>
      <c r="D241">
        <v>44</v>
      </c>
      <c r="E241">
        <v>1</v>
      </c>
      <c r="F241">
        <v>0</v>
      </c>
      <c r="G241">
        <v>0</v>
      </c>
      <c r="H241">
        <v>1</v>
      </c>
      <c r="I241">
        <v>0</v>
      </c>
    </row>
    <row r="242" spans="1:16" x14ac:dyDescent="0.2">
      <c r="A242" s="1">
        <v>45833</v>
      </c>
      <c r="B242" t="s">
        <v>194</v>
      </c>
      <c r="C242" t="s">
        <v>193</v>
      </c>
      <c r="D242">
        <v>33</v>
      </c>
      <c r="E242">
        <v>2</v>
      </c>
      <c r="F242">
        <v>1</v>
      </c>
      <c r="G242">
        <v>1</v>
      </c>
      <c r="H242">
        <v>0</v>
      </c>
      <c r="I242">
        <v>0</v>
      </c>
      <c r="K242" t="s">
        <v>25</v>
      </c>
      <c r="L242">
        <f>SUM(E241:E250)</f>
        <v>12</v>
      </c>
      <c r="M242" t="s">
        <v>52</v>
      </c>
      <c r="N242">
        <f>SUM(I241:I250)</f>
        <v>0</v>
      </c>
      <c r="O242" t="s">
        <v>195</v>
      </c>
      <c r="P242">
        <f>COUNTIF(C241:C250,O242)</f>
        <v>2</v>
      </c>
    </row>
    <row r="243" spans="1:16" x14ac:dyDescent="0.2">
      <c r="A243" s="1">
        <v>45833</v>
      </c>
      <c r="B243" t="s">
        <v>194</v>
      </c>
      <c r="C243" t="s">
        <v>193</v>
      </c>
      <c r="D243">
        <v>33</v>
      </c>
      <c r="E243">
        <v>1</v>
      </c>
      <c r="F243">
        <v>0</v>
      </c>
      <c r="G243">
        <v>1</v>
      </c>
      <c r="H243">
        <v>0</v>
      </c>
      <c r="I243">
        <v>0</v>
      </c>
      <c r="K243" t="s">
        <v>191</v>
      </c>
      <c r="L243">
        <f>SUM(F241:F250)</f>
        <v>7</v>
      </c>
      <c r="M243" t="s">
        <v>192</v>
      </c>
      <c r="N243">
        <f>COUNTIF(B241:B250,M243)</f>
        <v>5</v>
      </c>
      <c r="O243" t="s">
        <v>204</v>
      </c>
      <c r="P243">
        <f>AVERAGE(D241:D250)</f>
        <v>37.299999999999997</v>
      </c>
    </row>
    <row r="244" spans="1:16" x14ac:dyDescent="0.2">
      <c r="A244" s="1">
        <v>45833</v>
      </c>
      <c r="B244" t="s">
        <v>194</v>
      </c>
      <c r="C244" t="s">
        <v>193</v>
      </c>
      <c r="D244">
        <v>33</v>
      </c>
      <c r="E244">
        <v>1</v>
      </c>
      <c r="F244">
        <v>1</v>
      </c>
      <c r="G244">
        <v>0</v>
      </c>
      <c r="H244">
        <v>0</v>
      </c>
      <c r="I244">
        <v>0</v>
      </c>
      <c r="K244" t="s">
        <v>86</v>
      </c>
      <c r="L244">
        <f>SUM(G241:G250)</f>
        <v>3</v>
      </c>
      <c r="M244" t="s">
        <v>194</v>
      </c>
      <c r="N244">
        <f>COUNTIF(B241:B250,M244)</f>
        <v>5</v>
      </c>
    </row>
    <row r="245" spans="1:16" x14ac:dyDescent="0.2">
      <c r="A245" s="1">
        <v>45833</v>
      </c>
      <c r="B245" t="s">
        <v>194</v>
      </c>
      <c r="C245" t="s">
        <v>195</v>
      </c>
      <c r="D245">
        <v>54</v>
      </c>
      <c r="E245">
        <v>1</v>
      </c>
      <c r="F245">
        <v>1</v>
      </c>
      <c r="G245">
        <v>0</v>
      </c>
      <c r="H245">
        <v>0</v>
      </c>
      <c r="I245">
        <v>0</v>
      </c>
      <c r="K245" t="s">
        <v>87</v>
      </c>
      <c r="L245">
        <f>SUM(H241:H250)</f>
        <v>2</v>
      </c>
      <c r="M245" t="s">
        <v>193</v>
      </c>
      <c r="N245">
        <f>COUNTIF(C241:C250,M245)</f>
        <v>8</v>
      </c>
    </row>
    <row r="246" spans="1:16" x14ac:dyDescent="0.2">
      <c r="A246" s="1">
        <v>45833</v>
      </c>
      <c r="B246" t="s">
        <v>192</v>
      </c>
      <c r="C246" t="s">
        <v>193</v>
      </c>
      <c r="D246">
        <v>25</v>
      </c>
      <c r="E246">
        <v>2</v>
      </c>
      <c r="F246">
        <v>1</v>
      </c>
      <c r="G246">
        <v>1</v>
      </c>
      <c r="H246">
        <v>0</v>
      </c>
      <c r="I246">
        <v>0</v>
      </c>
    </row>
    <row r="247" spans="1:16" x14ac:dyDescent="0.2">
      <c r="A247" s="1">
        <v>45833</v>
      </c>
      <c r="B247" t="s">
        <v>192</v>
      </c>
      <c r="C247" t="s">
        <v>195</v>
      </c>
      <c r="D247">
        <v>48</v>
      </c>
      <c r="E247">
        <v>1</v>
      </c>
      <c r="F247">
        <v>1</v>
      </c>
      <c r="G247">
        <v>0</v>
      </c>
      <c r="H247">
        <v>0</v>
      </c>
      <c r="I247">
        <v>0</v>
      </c>
    </row>
    <row r="248" spans="1:16" x14ac:dyDescent="0.2">
      <c r="A248" s="1">
        <v>45833</v>
      </c>
      <c r="B248" t="s">
        <v>192</v>
      </c>
      <c r="C248" t="s">
        <v>193</v>
      </c>
      <c r="D248">
        <v>39</v>
      </c>
      <c r="E248">
        <v>0</v>
      </c>
      <c r="F248">
        <v>0</v>
      </c>
      <c r="G248">
        <v>0</v>
      </c>
      <c r="H248">
        <v>0</v>
      </c>
      <c r="I248">
        <v>0</v>
      </c>
      <c r="J248" t="s">
        <v>439</v>
      </c>
    </row>
    <row r="249" spans="1:16" x14ac:dyDescent="0.2">
      <c r="A249" s="1">
        <v>45833</v>
      </c>
      <c r="B249" t="s">
        <v>194</v>
      </c>
      <c r="C249" t="s">
        <v>193</v>
      </c>
      <c r="D249">
        <v>31</v>
      </c>
      <c r="E249">
        <v>2</v>
      </c>
      <c r="F249">
        <v>2</v>
      </c>
      <c r="G249">
        <v>0</v>
      </c>
      <c r="H249">
        <v>0</v>
      </c>
      <c r="I249">
        <v>0</v>
      </c>
    </row>
    <row r="250" spans="1:16" x14ac:dyDescent="0.2">
      <c r="A250" s="33">
        <v>45833</v>
      </c>
      <c r="B250" s="34" t="s">
        <v>192</v>
      </c>
      <c r="C250" s="34" t="s">
        <v>193</v>
      </c>
      <c r="D250" s="34">
        <v>33</v>
      </c>
      <c r="E250" s="34">
        <v>1</v>
      </c>
      <c r="F250" s="34">
        <v>0</v>
      </c>
      <c r="G250" s="34">
        <v>0</v>
      </c>
      <c r="H250" s="34">
        <v>1</v>
      </c>
      <c r="I250" s="34">
        <v>0</v>
      </c>
      <c r="J250" s="34"/>
      <c r="K250" s="34"/>
      <c r="L250" s="34"/>
      <c r="M250" s="34"/>
      <c r="N250" s="34"/>
      <c r="O250" s="34"/>
      <c r="P250" s="34"/>
    </row>
    <row r="251" spans="1:16" x14ac:dyDescent="0.2">
      <c r="A251" s="1">
        <v>45847</v>
      </c>
      <c r="B251" t="s">
        <v>194</v>
      </c>
      <c r="C251" t="s">
        <v>193</v>
      </c>
      <c r="D251">
        <v>50</v>
      </c>
      <c r="E251">
        <v>1</v>
      </c>
      <c r="F251">
        <v>0</v>
      </c>
      <c r="G251">
        <v>0</v>
      </c>
      <c r="H251">
        <v>1</v>
      </c>
      <c r="I251">
        <v>0</v>
      </c>
    </row>
    <row r="252" spans="1:16" x14ac:dyDescent="0.2">
      <c r="A252" s="1">
        <v>45847</v>
      </c>
      <c r="B252" t="s">
        <v>192</v>
      </c>
      <c r="C252" t="s">
        <v>193</v>
      </c>
      <c r="D252">
        <v>27</v>
      </c>
      <c r="E252">
        <v>2</v>
      </c>
      <c r="F252">
        <v>1</v>
      </c>
      <c r="G252">
        <v>1</v>
      </c>
      <c r="H252">
        <v>0</v>
      </c>
      <c r="I252">
        <v>0</v>
      </c>
      <c r="K252" t="s">
        <v>25</v>
      </c>
      <c r="L252">
        <f>SUM(E251:E263)</f>
        <v>17</v>
      </c>
      <c r="M252" t="s">
        <v>52</v>
      </c>
      <c r="N252">
        <f>SUM(I251:I263)</f>
        <v>3</v>
      </c>
      <c r="O252" t="s">
        <v>195</v>
      </c>
      <c r="P252">
        <f>COUNTIF(C251:C263,O252)</f>
        <v>2</v>
      </c>
    </row>
    <row r="253" spans="1:16" x14ac:dyDescent="0.2">
      <c r="A253" s="1">
        <v>45847</v>
      </c>
      <c r="B253" t="s">
        <v>194</v>
      </c>
      <c r="C253" t="s">
        <v>193</v>
      </c>
      <c r="D253">
        <v>44</v>
      </c>
      <c r="E253">
        <v>1</v>
      </c>
      <c r="F253">
        <v>1</v>
      </c>
      <c r="G253">
        <v>0</v>
      </c>
      <c r="H253">
        <v>0</v>
      </c>
      <c r="I253">
        <v>0</v>
      </c>
      <c r="K253" t="s">
        <v>191</v>
      </c>
      <c r="L253">
        <f>SUM(F251:F263)</f>
        <v>9</v>
      </c>
      <c r="M253" t="s">
        <v>192</v>
      </c>
      <c r="N253">
        <f>COUNTIF(B251:B263,M253)</f>
        <v>6</v>
      </c>
      <c r="O253" t="s">
        <v>204</v>
      </c>
      <c r="P253" s="20">
        <f>AVERAGE(D251:D263)</f>
        <v>43.53846153846154</v>
      </c>
    </row>
    <row r="254" spans="1:16" x14ac:dyDescent="0.2">
      <c r="A254" s="1">
        <v>45847</v>
      </c>
      <c r="B254" t="s">
        <v>192</v>
      </c>
      <c r="C254" t="s">
        <v>193</v>
      </c>
      <c r="D254">
        <v>55</v>
      </c>
      <c r="E254">
        <v>3</v>
      </c>
      <c r="F254">
        <v>1</v>
      </c>
      <c r="G254">
        <v>0</v>
      </c>
      <c r="H254">
        <v>0</v>
      </c>
      <c r="I254">
        <v>2</v>
      </c>
      <c r="K254" t="s">
        <v>86</v>
      </c>
      <c r="L254">
        <f>SUM(G251:G263)</f>
        <v>2</v>
      </c>
      <c r="M254" t="s">
        <v>194</v>
      </c>
      <c r="N254">
        <f>COUNTIF(B251:B263,M254)</f>
        <v>7</v>
      </c>
    </row>
    <row r="255" spans="1:16" x14ac:dyDescent="0.2">
      <c r="A255" s="1">
        <v>45847</v>
      </c>
      <c r="B255" t="s">
        <v>194</v>
      </c>
      <c r="C255" t="s">
        <v>193</v>
      </c>
      <c r="D255">
        <v>32</v>
      </c>
      <c r="E255">
        <v>1</v>
      </c>
      <c r="F255">
        <v>1</v>
      </c>
      <c r="G255">
        <v>0</v>
      </c>
      <c r="H255">
        <v>0</v>
      </c>
      <c r="I255">
        <v>0</v>
      </c>
      <c r="K255" t="s">
        <v>87</v>
      </c>
      <c r="L255">
        <f>SUM(H251:H263)</f>
        <v>3</v>
      </c>
      <c r="M255" t="s">
        <v>193</v>
      </c>
      <c r="N255">
        <f>COUNTIF(C251:C263,M255)</f>
        <v>11</v>
      </c>
    </row>
    <row r="256" spans="1:16" x14ac:dyDescent="0.2">
      <c r="A256" s="1">
        <v>45847</v>
      </c>
      <c r="B256" t="s">
        <v>194</v>
      </c>
      <c r="C256" t="s">
        <v>193</v>
      </c>
      <c r="D256">
        <v>36</v>
      </c>
      <c r="E256">
        <v>2</v>
      </c>
      <c r="F256">
        <v>0</v>
      </c>
      <c r="G256">
        <v>0</v>
      </c>
      <c r="H256">
        <v>1</v>
      </c>
      <c r="I256">
        <v>1</v>
      </c>
    </row>
    <row r="257" spans="1:16" x14ac:dyDescent="0.2">
      <c r="A257" s="1">
        <v>45847</v>
      </c>
      <c r="B257" t="s">
        <v>192</v>
      </c>
      <c r="C257" t="s">
        <v>193</v>
      </c>
      <c r="D257">
        <v>52</v>
      </c>
      <c r="E257">
        <v>1</v>
      </c>
      <c r="F257">
        <v>1</v>
      </c>
      <c r="G257">
        <v>0</v>
      </c>
      <c r="H257">
        <v>0</v>
      </c>
      <c r="I257">
        <v>0</v>
      </c>
    </row>
    <row r="258" spans="1:16" x14ac:dyDescent="0.2">
      <c r="A258" s="1">
        <v>45847</v>
      </c>
      <c r="B258" t="s">
        <v>192</v>
      </c>
      <c r="C258" t="s">
        <v>195</v>
      </c>
      <c r="D258">
        <v>40</v>
      </c>
      <c r="E258">
        <v>1</v>
      </c>
      <c r="F258">
        <v>1</v>
      </c>
      <c r="G258">
        <v>0</v>
      </c>
      <c r="H258">
        <v>0</v>
      </c>
      <c r="I258">
        <v>0</v>
      </c>
    </row>
    <row r="259" spans="1:16" x14ac:dyDescent="0.2">
      <c r="A259" s="1">
        <v>45847</v>
      </c>
      <c r="B259" t="s">
        <v>194</v>
      </c>
      <c r="C259" t="s">
        <v>193</v>
      </c>
      <c r="D259">
        <v>47</v>
      </c>
      <c r="E259">
        <v>0</v>
      </c>
      <c r="F259">
        <v>0</v>
      </c>
      <c r="G259">
        <v>0</v>
      </c>
      <c r="H259">
        <v>0</v>
      </c>
      <c r="I259">
        <v>0</v>
      </c>
      <c r="J259" t="s">
        <v>457</v>
      </c>
    </row>
    <row r="260" spans="1:16" x14ac:dyDescent="0.2">
      <c r="A260" s="1">
        <v>45847</v>
      </c>
      <c r="B260" t="s">
        <v>192</v>
      </c>
      <c r="C260" t="s">
        <v>195</v>
      </c>
      <c r="D260">
        <v>37</v>
      </c>
      <c r="E260">
        <v>1</v>
      </c>
      <c r="F260">
        <v>0</v>
      </c>
      <c r="G260">
        <v>0</v>
      </c>
      <c r="H260">
        <v>1</v>
      </c>
      <c r="I260">
        <v>0</v>
      </c>
    </row>
    <row r="261" spans="1:16" x14ac:dyDescent="0.2">
      <c r="A261" s="1">
        <v>45847</v>
      </c>
      <c r="B261" t="s">
        <v>192</v>
      </c>
      <c r="C261" t="s">
        <v>193</v>
      </c>
      <c r="D261">
        <v>52</v>
      </c>
      <c r="E261">
        <v>2</v>
      </c>
      <c r="F261">
        <v>1</v>
      </c>
      <c r="G261">
        <v>1</v>
      </c>
      <c r="H261">
        <v>0</v>
      </c>
      <c r="I261">
        <v>0</v>
      </c>
    </row>
    <row r="262" spans="1:16" x14ac:dyDescent="0.2">
      <c r="A262" s="1">
        <v>45847</v>
      </c>
      <c r="B262" t="s">
        <v>194</v>
      </c>
      <c r="C262" t="s">
        <v>193</v>
      </c>
      <c r="D262">
        <v>44</v>
      </c>
      <c r="E262">
        <v>2</v>
      </c>
      <c r="F262">
        <v>2</v>
      </c>
      <c r="G262">
        <v>0</v>
      </c>
      <c r="H262">
        <v>0</v>
      </c>
      <c r="I262">
        <v>0</v>
      </c>
    </row>
    <row r="263" spans="1:16" x14ac:dyDescent="0.2">
      <c r="A263" s="33">
        <v>45847</v>
      </c>
      <c r="B263" s="34" t="s">
        <v>194</v>
      </c>
      <c r="C263" s="34" t="s">
        <v>193</v>
      </c>
      <c r="D263" s="34">
        <v>50</v>
      </c>
      <c r="E263" s="34">
        <v>0</v>
      </c>
      <c r="F263" s="34">
        <v>0</v>
      </c>
      <c r="G263" s="34">
        <v>0</v>
      </c>
      <c r="H263" s="34">
        <v>0</v>
      </c>
      <c r="I263" s="34">
        <v>0</v>
      </c>
      <c r="J263" s="34" t="s">
        <v>458</v>
      </c>
      <c r="K263" s="34"/>
      <c r="L263" s="34"/>
      <c r="M263" s="34"/>
      <c r="N263" s="34"/>
      <c r="O263" s="34"/>
      <c r="P263" s="34"/>
    </row>
    <row r="264" spans="1:16" x14ac:dyDescent="0.2">
      <c r="A264" s="1">
        <v>45861</v>
      </c>
      <c r="B264" t="s">
        <v>192</v>
      </c>
      <c r="C264" t="s">
        <v>193</v>
      </c>
      <c r="D264">
        <v>26</v>
      </c>
      <c r="E264">
        <v>1</v>
      </c>
      <c r="F264">
        <v>1</v>
      </c>
      <c r="G264">
        <v>0</v>
      </c>
      <c r="H264">
        <v>0</v>
      </c>
      <c r="I264">
        <v>0</v>
      </c>
    </row>
    <row r="265" spans="1:16" x14ac:dyDescent="0.2">
      <c r="A265" s="1">
        <v>45861</v>
      </c>
      <c r="B265" t="s">
        <v>194</v>
      </c>
      <c r="C265" t="s">
        <v>193</v>
      </c>
      <c r="D265">
        <v>43</v>
      </c>
      <c r="E265">
        <v>1</v>
      </c>
      <c r="F265">
        <v>1</v>
      </c>
      <c r="G265">
        <v>0</v>
      </c>
      <c r="H265">
        <v>0</v>
      </c>
      <c r="I265">
        <v>0</v>
      </c>
      <c r="K265" t="s">
        <v>25</v>
      </c>
      <c r="L265">
        <f>SUM(E264:E269)</f>
        <v>9</v>
      </c>
      <c r="M265" t="s">
        <v>52</v>
      </c>
      <c r="N265">
        <f>SUM(I264:I269)</f>
        <v>0</v>
      </c>
      <c r="O265" t="s">
        <v>195</v>
      </c>
      <c r="P265">
        <f>COUNTIF(C264:C269,O265)</f>
        <v>1</v>
      </c>
    </row>
    <row r="266" spans="1:16" x14ac:dyDescent="0.2">
      <c r="A266" s="1">
        <v>45861</v>
      </c>
      <c r="B266" t="s">
        <v>194</v>
      </c>
      <c r="C266" t="s">
        <v>193</v>
      </c>
      <c r="D266">
        <v>22</v>
      </c>
      <c r="E266">
        <v>2</v>
      </c>
      <c r="F266">
        <v>1</v>
      </c>
      <c r="G266">
        <v>1</v>
      </c>
      <c r="H266">
        <v>0</v>
      </c>
      <c r="I266">
        <v>0</v>
      </c>
      <c r="K266" t="s">
        <v>191</v>
      </c>
      <c r="L266">
        <f>SUM(F264:F269)</f>
        <v>6</v>
      </c>
      <c r="M266" t="s">
        <v>192</v>
      </c>
      <c r="N266">
        <f>COUNTIF(B264:B269,M266)</f>
        <v>2</v>
      </c>
      <c r="O266" t="s">
        <v>204</v>
      </c>
      <c r="P266" s="20">
        <f>AVERAGE(D264:D269)</f>
        <v>27.833333333333332</v>
      </c>
    </row>
    <row r="267" spans="1:16" x14ac:dyDescent="0.2">
      <c r="A267" s="1">
        <v>45861</v>
      </c>
      <c r="B267" t="s">
        <v>194</v>
      </c>
      <c r="C267" t="s">
        <v>193</v>
      </c>
      <c r="D267">
        <v>26</v>
      </c>
      <c r="E267">
        <v>1</v>
      </c>
      <c r="F267">
        <v>0</v>
      </c>
      <c r="G267">
        <v>1</v>
      </c>
      <c r="H267">
        <v>0</v>
      </c>
      <c r="I267">
        <v>0</v>
      </c>
      <c r="K267" t="s">
        <v>86</v>
      </c>
      <c r="L267">
        <f>SUM(G264:G269)</f>
        <v>3</v>
      </c>
      <c r="M267" t="s">
        <v>194</v>
      </c>
      <c r="N267">
        <f>COUNTIF(B264:B269,M267)</f>
        <v>4</v>
      </c>
    </row>
    <row r="268" spans="1:16" x14ac:dyDescent="0.2">
      <c r="A268" s="1">
        <v>45861</v>
      </c>
      <c r="B268" t="s">
        <v>194</v>
      </c>
      <c r="C268" t="s">
        <v>193</v>
      </c>
      <c r="D268">
        <v>3</v>
      </c>
      <c r="E268">
        <v>2</v>
      </c>
      <c r="F268">
        <v>2</v>
      </c>
      <c r="G268">
        <v>0</v>
      </c>
      <c r="H268">
        <v>0</v>
      </c>
      <c r="I268">
        <v>0</v>
      </c>
      <c r="K268" t="s">
        <v>87</v>
      </c>
      <c r="L268">
        <f>SUM(H264:H269)</f>
        <v>0</v>
      </c>
      <c r="M268" t="s">
        <v>193</v>
      </c>
      <c r="N268">
        <f>COUNTIF(C264:C269,M268)</f>
        <v>5</v>
      </c>
    </row>
    <row r="269" spans="1:16" x14ac:dyDescent="0.2">
      <c r="A269" s="33">
        <v>45861</v>
      </c>
      <c r="B269" s="34" t="s">
        <v>192</v>
      </c>
      <c r="C269" s="34" t="s">
        <v>195</v>
      </c>
      <c r="D269" s="34">
        <v>47</v>
      </c>
      <c r="E269" s="34">
        <v>2</v>
      </c>
      <c r="F269" s="34">
        <v>1</v>
      </c>
      <c r="G269" s="34">
        <v>1</v>
      </c>
      <c r="H269" s="34">
        <v>0</v>
      </c>
      <c r="I269" s="34">
        <v>0</v>
      </c>
      <c r="J269" s="34"/>
      <c r="K269" s="34"/>
      <c r="L269" s="34"/>
      <c r="M269" s="34"/>
      <c r="N269" s="34"/>
      <c r="O269" s="34"/>
      <c r="P269" s="34"/>
    </row>
    <row r="270" spans="1:16" x14ac:dyDescent="0.2">
      <c r="A270" s="1">
        <v>45889</v>
      </c>
      <c r="B270" t="s">
        <v>194</v>
      </c>
      <c r="C270" t="s">
        <v>193</v>
      </c>
      <c r="D270">
        <v>50</v>
      </c>
      <c r="E270">
        <v>2</v>
      </c>
      <c r="F270">
        <v>0</v>
      </c>
      <c r="G270">
        <v>0</v>
      </c>
      <c r="H270">
        <v>2</v>
      </c>
      <c r="I270">
        <v>0</v>
      </c>
    </row>
    <row r="271" spans="1:16" x14ac:dyDescent="0.2">
      <c r="A271" s="1">
        <v>45889</v>
      </c>
      <c r="B271" t="s">
        <v>194</v>
      </c>
      <c r="C271" t="s">
        <v>193</v>
      </c>
      <c r="D271">
        <v>31</v>
      </c>
      <c r="E271">
        <v>1</v>
      </c>
      <c r="F271">
        <v>1</v>
      </c>
      <c r="G271">
        <v>0</v>
      </c>
      <c r="H271">
        <v>0</v>
      </c>
      <c r="I271">
        <v>0</v>
      </c>
      <c r="K271" t="s">
        <v>25</v>
      </c>
      <c r="L271">
        <f>SUM(E270:E274)</f>
        <v>7</v>
      </c>
      <c r="M271" t="s">
        <v>52</v>
      </c>
      <c r="N271">
        <f>SUM(I270:I274)</f>
        <v>0</v>
      </c>
      <c r="O271" t="s">
        <v>195</v>
      </c>
      <c r="P271">
        <f>COUNTIF(C270:C274,O271)</f>
        <v>0</v>
      </c>
    </row>
    <row r="272" spans="1:16" x14ac:dyDescent="0.2">
      <c r="A272" s="1">
        <v>45889</v>
      </c>
      <c r="B272" t="s">
        <v>192</v>
      </c>
      <c r="C272" t="s">
        <v>193</v>
      </c>
      <c r="D272">
        <v>46</v>
      </c>
      <c r="E272">
        <v>1</v>
      </c>
      <c r="F272">
        <v>1</v>
      </c>
      <c r="G272">
        <v>0</v>
      </c>
      <c r="H272">
        <v>0</v>
      </c>
      <c r="I272">
        <v>0</v>
      </c>
      <c r="K272" t="s">
        <v>191</v>
      </c>
      <c r="L272">
        <f>SUM(F270:F274)</f>
        <v>2</v>
      </c>
      <c r="M272" t="s">
        <v>192</v>
      </c>
      <c r="N272">
        <f>COUNTIF(B270:B274,M272)</f>
        <v>2</v>
      </c>
      <c r="O272" t="s">
        <v>204</v>
      </c>
      <c r="P272" s="20">
        <f>AVERAGE(D270:D274)</f>
        <v>42.2</v>
      </c>
    </row>
    <row r="273" spans="1:16" x14ac:dyDescent="0.2">
      <c r="A273" s="1">
        <v>45889</v>
      </c>
      <c r="B273" t="s">
        <v>192</v>
      </c>
      <c r="C273" t="s">
        <v>193</v>
      </c>
      <c r="D273">
        <v>42</v>
      </c>
      <c r="E273">
        <v>1</v>
      </c>
      <c r="F273">
        <v>0</v>
      </c>
      <c r="G273">
        <v>1</v>
      </c>
      <c r="H273">
        <v>0</v>
      </c>
      <c r="I273">
        <v>0</v>
      </c>
      <c r="K273" t="s">
        <v>86</v>
      </c>
      <c r="L273">
        <f>SUM(G270:G274)</f>
        <v>1</v>
      </c>
      <c r="M273" t="s">
        <v>194</v>
      </c>
      <c r="N273">
        <f>COUNTIF(B270:B274,M273)</f>
        <v>3</v>
      </c>
    </row>
    <row r="274" spans="1:16" x14ac:dyDescent="0.2">
      <c r="A274" s="33">
        <v>45889</v>
      </c>
      <c r="B274" s="34" t="s">
        <v>194</v>
      </c>
      <c r="C274" s="34" t="s">
        <v>193</v>
      </c>
      <c r="D274" s="34">
        <v>42</v>
      </c>
      <c r="E274" s="34">
        <v>2</v>
      </c>
      <c r="F274" s="34">
        <v>0</v>
      </c>
      <c r="G274" s="34">
        <v>0</v>
      </c>
      <c r="H274" s="34">
        <v>2</v>
      </c>
      <c r="I274" s="34">
        <v>0</v>
      </c>
      <c r="J274" s="34"/>
      <c r="K274" s="34" t="s">
        <v>87</v>
      </c>
      <c r="L274" s="34">
        <f>SUM(H270:H274)</f>
        <v>4</v>
      </c>
      <c r="M274" s="34" t="s">
        <v>193</v>
      </c>
      <c r="N274" s="34">
        <f>COUNTIF(C270:C274,M274)</f>
        <v>5</v>
      </c>
      <c r="O274" s="34"/>
      <c r="P274" s="34"/>
    </row>
    <row r="275" spans="1:16" x14ac:dyDescent="0.2">
      <c r="A275" s="1">
        <v>45903</v>
      </c>
      <c r="B275" t="s">
        <v>194</v>
      </c>
      <c r="C275" t="s">
        <v>193</v>
      </c>
      <c r="D275">
        <v>23</v>
      </c>
      <c r="E275">
        <v>2</v>
      </c>
      <c r="F275">
        <v>1</v>
      </c>
      <c r="G275">
        <v>1</v>
      </c>
      <c r="H275">
        <v>0</v>
      </c>
      <c r="I275">
        <v>0</v>
      </c>
    </row>
    <row r="276" spans="1:16" x14ac:dyDescent="0.2">
      <c r="A276" s="1">
        <v>45903</v>
      </c>
      <c r="B276" t="s">
        <v>192</v>
      </c>
      <c r="C276" t="s">
        <v>193</v>
      </c>
      <c r="D276">
        <v>43</v>
      </c>
      <c r="E276">
        <v>1</v>
      </c>
      <c r="F276">
        <v>0</v>
      </c>
      <c r="G276">
        <v>1</v>
      </c>
      <c r="H276">
        <v>0</v>
      </c>
      <c r="I276">
        <v>0</v>
      </c>
      <c r="K276" t="s">
        <v>25</v>
      </c>
      <c r="L276">
        <f>SUM(E275:E280)</f>
        <v>10</v>
      </c>
      <c r="M276" t="s">
        <v>52</v>
      </c>
      <c r="N276">
        <f>SUM(I275:I280)</f>
        <v>0</v>
      </c>
      <c r="O276" t="s">
        <v>195</v>
      </c>
      <c r="P276">
        <f>COUNTIF(C275:C280,O276)</f>
        <v>1</v>
      </c>
    </row>
    <row r="277" spans="1:16" x14ac:dyDescent="0.2">
      <c r="A277" s="1">
        <v>45903</v>
      </c>
      <c r="B277" t="s">
        <v>194</v>
      </c>
      <c r="C277" t="s">
        <v>193</v>
      </c>
      <c r="D277">
        <v>55</v>
      </c>
      <c r="E277">
        <v>2</v>
      </c>
      <c r="F277">
        <v>1</v>
      </c>
      <c r="G277">
        <v>1</v>
      </c>
      <c r="H277">
        <v>0</v>
      </c>
      <c r="I277">
        <v>0</v>
      </c>
      <c r="K277" t="s">
        <v>191</v>
      </c>
      <c r="L277">
        <f>SUM(F275:F280)</f>
        <v>3</v>
      </c>
      <c r="M277" t="s">
        <v>192</v>
      </c>
      <c r="N277">
        <f>COUNTIF(B275:B280,M277)</f>
        <v>2</v>
      </c>
      <c r="O277" t="s">
        <v>204</v>
      </c>
      <c r="P277" s="20">
        <f>AVERAGE(D275:D280)</f>
        <v>41.333333333333336</v>
      </c>
    </row>
    <row r="278" spans="1:16" x14ac:dyDescent="0.2">
      <c r="A278" s="1">
        <v>45903</v>
      </c>
      <c r="B278" t="s">
        <v>192</v>
      </c>
      <c r="C278" t="s">
        <v>193</v>
      </c>
      <c r="D278">
        <v>35</v>
      </c>
      <c r="E278">
        <v>1</v>
      </c>
      <c r="F278">
        <v>0</v>
      </c>
      <c r="G278">
        <v>0</v>
      </c>
      <c r="H278">
        <v>1</v>
      </c>
      <c r="I278">
        <v>0</v>
      </c>
      <c r="K278" t="s">
        <v>86</v>
      </c>
      <c r="L278">
        <f>SUM(G275:G280)</f>
        <v>4</v>
      </c>
      <c r="M278" t="s">
        <v>194</v>
      </c>
      <c r="N278">
        <f>COUNTIF(B275:B280,M278)</f>
        <v>4</v>
      </c>
    </row>
    <row r="279" spans="1:16" x14ac:dyDescent="0.2">
      <c r="A279" s="1">
        <v>45903</v>
      </c>
      <c r="B279" t="s">
        <v>194</v>
      </c>
      <c r="C279" t="s">
        <v>193</v>
      </c>
      <c r="D279">
        <v>55</v>
      </c>
      <c r="E279">
        <v>2</v>
      </c>
      <c r="F279">
        <v>1</v>
      </c>
      <c r="G279">
        <v>1</v>
      </c>
      <c r="H279">
        <v>0</v>
      </c>
      <c r="I279">
        <v>0</v>
      </c>
      <c r="K279" t="s">
        <v>87</v>
      </c>
      <c r="L279">
        <f>SUM(H275:H280)</f>
        <v>3</v>
      </c>
      <c r="M279" t="s">
        <v>193</v>
      </c>
      <c r="N279">
        <f>COUNTIF(C275:C280,M279)</f>
        <v>5</v>
      </c>
    </row>
    <row r="280" spans="1:16" x14ac:dyDescent="0.2">
      <c r="A280" s="33">
        <v>45903</v>
      </c>
      <c r="B280" s="34" t="s">
        <v>194</v>
      </c>
      <c r="C280" s="34" t="s">
        <v>195</v>
      </c>
      <c r="D280" s="34">
        <v>37</v>
      </c>
      <c r="E280" s="34">
        <v>2</v>
      </c>
      <c r="F280" s="34">
        <v>0</v>
      </c>
      <c r="G280" s="34">
        <v>0</v>
      </c>
      <c r="H280" s="34">
        <v>2</v>
      </c>
      <c r="I280" s="34">
        <v>0</v>
      </c>
      <c r="J280" s="34"/>
      <c r="K280" s="34"/>
      <c r="L280" s="34"/>
      <c r="M280" s="34"/>
      <c r="N280" s="34"/>
      <c r="O280" s="34"/>
      <c r="P280" s="34"/>
    </row>
    <row r="281" spans="1:16" x14ac:dyDescent="0.2">
      <c r="A281" s="1">
        <v>45917</v>
      </c>
      <c r="B281" t="s">
        <v>192</v>
      </c>
      <c r="C281" t="s">
        <v>193</v>
      </c>
      <c r="D281">
        <v>27</v>
      </c>
      <c r="E281">
        <v>1</v>
      </c>
      <c r="F281">
        <v>0</v>
      </c>
      <c r="G281">
        <v>0</v>
      </c>
      <c r="H281">
        <v>1</v>
      </c>
      <c r="I281">
        <v>0</v>
      </c>
    </row>
    <row r="282" spans="1:16" x14ac:dyDescent="0.2">
      <c r="A282" s="1">
        <v>45917</v>
      </c>
      <c r="B282" t="s">
        <v>194</v>
      </c>
      <c r="C282" t="s">
        <v>193</v>
      </c>
      <c r="D282">
        <v>23</v>
      </c>
      <c r="E282">
        <v>2</v>
      </c>
      <c r="F282">
        <v>1</v>
      </c>
      <c r="G282">
        <v>1</v>
      </c>
      <c r="H282">
        <v>0</v>
      </c>
      <c r="I282">
        <v>0</v>
      </c>
      <c r="K282" t="s">
        <v>25</v>
      </c>
      <c r="L282">
        <f>SUM(E281:E288)</f>
        <v>12</v>
      </c>
      <c r="M282" t="s">
        <v>52</v>
      </c>
      <c r="N282">
        <f>SUM(I281:I288)</f>
        <v>0</v>
      </c>
      <c r="O282" t="s">
        <v>195</v>
      </c>
      <c r="P282">
        <f>COUNTIF(C281:C288,O282)</f>
        <v>1</v>
      </c>
    </row>
    <row r="283" spans="1:16" x14ac:dyDescent="0.2">
      <c r="A283" s="1">
        <v>45917</v>
      </c>
      <c r="B283" t="s">
        <v>192</v>
      </c>
      <c r="C283" t="s">
        <v>195</v>
      </c>
      <c r="D283">
        <v>43</v>
      </c>
      <c r="E283">
        <v>2</v>
      </c>
      <c r="F283">
        <v>1</v>
      </c>
      <c r="G283">
        <v>1</v>
      </c>
      <c r="H283">
        <v>0</v>
      </c>
      <c r="I283">
        <v>0</v>
      </c>
      <c r="K283" t="s">
        <v>191</v>
      </c>
      <c r="L283">
        <f>SUM(F281:F288)</f>
        <v>5</v>
      </c>
      <c r="M283" t="s">
        <v>192</v>
      </c>
      <c r="N283">
        <f>COUNTIF(B281:B288,M283)</f>
        <v>2</v>
      </c>
      <c r="O283" t="s">
        <v>204</v>
      </c>
      <c r="P283" s="20">
        <f>AVERAGE(D281:D288)</f>
        <v>35.125</v>
      </c>
    </row>
    <row r="284" spans="1:16" x14ac:dyDescent="0.2">
      <c r="A284" s="1">
        <v>45917</v>
      </c>
      <c r="B284" t="s">
        <v>194</v>
      </c>
      <c r="C284" t="s">
        <v>193</v>
      </c>
      <c r="D284">
        <v>40</v>
      </c>
      <c r="E284">
        <v>1</v>
      </c>
      <c r="F284">
        <v>0</v>
      </c>
      <c r="G284">
        <v>1</v>
      </c>
      <c r="H284">
        <v>0</v>
      </c>
      <c r="I284">
        <v>0</v>
      </c>
      <c r="K284" t="s">
        <v>86</v>
      </c>
      <c r="L284">
        <f>SUM(G281:G288)</f>
        <v>6</v>
      </c>
      <c r="M284" t="s">
        <v>194</v>
      </c>
      <c r="N284">
        <f>COUNTIF(B281:B288,M284)</f>
        <v>6</v>
      </c>
    </row>
    <row r="285" spans="1:16" x14ac:dyDescent="0.2">
      <c r="A285" s="1">
        <v>45917</v>
      </c>
      <c r="B285" t="s">
        <v>194</v>
      </c>
      <c r="C285" t="s">
        <v>193</v>
      </c>
      <c r="D285">
        <v>23</v>
      </c>
      <c r="E285">
        <v>2</v>
      </c>
      <c r="F285">
        <v>1</v>
      </c>
      <c r="G285">
        <v>1</v>
      </c>
      <c r="H285">
        <v>0</v>
      </c>
      <c r="I285">
        <v>0</v>
      </c>
      <c r="K285" t="s">
        <v>87</v>
      </c>
      <c r="L285">
        <f>SUM(H281:H288)</f>
        <v>1</v>
      </c>
      <c r="M285" t="s">
        <v>193</v>
      </c>
      <c r="N285">
        <f>COUNTIF(C281:C288,M285)</f>
        <v>7</v>
      </c>
    </row>
    <row r="286" spans="1:16" x14ac:dyDescent="0.2">
      <c r="A286" s="1">
        <v>45917</v>
      </c>
      <c r="B286" t="s">
        <v>194</v>
      </c>
      <c r="C286" t="s">
        <v>193</v>
      </c>
      <c r="D286">
        <v>36</v>
      </c>
      <c r="E286">
        <v>1</v>
      </c>
      <c r="F286">
        <v>1</v>
      </c>
      <c r="G286">
        <v>0</v>
      </c>
      <c r="H286">
        <v>0</v>
      </c>
      <c r="I286">
        <v>0</v>
      </c>
    </row>
    <row r="287" spans="1:16" x14ac:dyDescent="0.2">
      <c r="A287" s="1">
        <v>45917</v>
      </c>
      <c r="B287" t="s">
        <v>194</v>
      </c>
      <c r="C287" t="s">
        <v>193</v>
      </c>
      <c r="D287">
        <v>49</v>
      </c>
      <c r="E287">
        <v>2</v>
      </c>
      <c r="F287">
        <v>1</v>
      </c>
      <c r="G287">
        <v>1</v>
      </c>
      <c r="H287">
        <v>0</v>
      </c>
      <c r="I287">
        <v>0</v>
      </c>
    </row>
    <row r="288" spans="1:16" x14ac:dyDescent="0.2">
      <c r="A288" s="33">
        <v>45917</v>
      </c>
      <c r="B288" s="34" t="s">
        <v>194</v>
      </c>
      <c r="C288" s="34" t="s">
        <v>193</v>
      </c>
      <c r="D288" s="34">
        <v>40</v>
      </c>
      <c r="E288" s="34">
        <v>1</v>
      </c>
      <c r="F288" s="34">
        <v>0</v>
      </c>
      <c r="G288" s="34">
        <v>1</v>
      </c>
      <c r="H288" s="34">
        <v>0</v>
      </c>
      <c r="I288" s="34">
        <v>0</v>
      </c>
      <c r="J288" s="34"/>
      <c r="K288" s="34"/>
      <c r="L288" s="34"/>
      <c r="M288" s="34"/>
      <c r="N288" s="34"/>
      <c r="O288" s="34"/>
      <c r="P288" s="34"/>
    </row>
    <row r="289" spans="1:20" x14ac:dyDescent="0.2">
      <c r="A289" s="1">
        <v>45931</v>
      </c>
      <c r="B289" t="s">
        <v>194</v>
      </c>
      <c r="C289" t="s">
        <v>193</v>
      </c>
      <c r="D289">
        <v>40</v>
      </c>
      <c r="E289">
        <v>2</v>
      </c>
      <c r="F289">
        <v>1</v>
      </c>
      <c r="G289">
        <v>1</v>
      </c>
      <c r="H289">
        <v>0</v>
      </c>
      <c r="I289">
        <v>0</v>
      </c>
    </row>
    <row r="290" spans="1:20" x14ac:dyDescent="0.2">
      <c r="A290" s="1">
        <v>45931</v>
      </c>
      <c r="B290" t="s">
        <v>192</v>
      </c>
      <c r="C290" t="s">
        <v>195</v>
      </c>
      <c r="D290">
        <v>38</v>
      </c>
      <c r="E290">
        <v>3</v>
      </c>
      <c r="F290">
        <v>2</v>
      </c>
      <c r="G290">
        <v>1</v>
      </c>
      <c r="H290">
        <v>0</v>
      </c>
      <c r="I290">
        <v>0</v>
      </c>
      <c r="K290" t="s">
        <v>25</v>
      </c>
      <c r="L290">
        <f>SUM(E289:E294)</f>
        <v>11</v>
      </c>
      <c r="M290" t="s">
        <v>52</v>
      </c>
      <c r="N290">
        <f>SUM(I289:I294)</f>
        <v>0</v>
      </c>
      <c r="O290" t="s">
        <v>195</v>
      </c>
      <c r="P290">
        <f>COUNTIF(C289:C294,O290)</f>
        <v>1</v>
      </c>
    </row>
    <row r="291" spans="1:20" x14ac:dyDescent="0.2">
      <c r="A291" s="1">
        <v>45931</v>
      </c>
      <c r="B291" t="s">
        <v>194</v>
      </c>
      <c r="C291" t="s">
        <v>193</v>
      </c>
      <c r="D291">
        <v>34</v>
      </c>
      <c r="E291">
        <v>1</v>
      </c>
      <c r="F291">
        <v>0</v>
      </c>
      <c r="G291">
        <v>0</v>
      </c>
      <c r="H291">
        <v>1</v>
      </c>
      <c r="I291">
        <v>0</v>
      </c>
      <c r="K291" t="s">
        <v>191</v>
      </c>
      <c r="L291">
        <f>SUM(F289:F294)</f>
        <v>5</v>
      </c>
      <c r="M291" t="s">
        <v>192</v>
      </c>
      <c r="N291">
        <f>COUNTIF(B289:B294,M291)</f>
        <v>1</v>
      </c>
      <c r="O291" t="s">
        <v>204</v>
      </c>
      <c r="P291" s="20">
        <f>AVERAGE(D289:D294)</f>
        <v>41</v>
      </c>
    </row>
    <row r="292" spans="1:20" x14ac:dyDescent="0.2">
      <c r="A292" s="1">
        <v>45931</v>
      </c>
      <c r="B292" t="s">
        <v>194</v>
      </c>
      <c r="C292" t="s">
        <v>193</v>
      </c>
      <c r="D292">
        <v>49</v>
      </c>
      <c r="E292">
        <v>2</v>
      </c>
      <c r="F292">
        <v>1</v>
      </c>
      <c r="G292">
        <v>0</v>
      </c>
      <c r="H292">
        <v>1</v>
      </c>
      <c r="I292">
        <v>0</v>
      </c>
      <c r="K292" t="s">
        <v>86</v>
      </c>
      <c r="L292">
        <f>SUM(G289:G294)</f>
        <v>4</v>
      </c>
      <c r="M292" t="s">
        <v>194</v>
      </c>
      <c r="N292">
        <f>COUNTIF(B289:B294,M292)</f>
        <v>5</v>
      </c>
    </row>
    <row r="293" spans="1:20" x14ac:dyDescent="0.2">
      <c r="A293" s="1">
        <v>45931</v>
      </c>
      <c r="B293" t="s">
        <v>194</v>
      </c>
      <c r="C293" t="s">
        <v>193</v>
      </c>
      <c r="D293">
        <v>45</v>
      </c>
      <c r="E293">
        <v>2</v>
      </c>
      <c r="F293">
        <v>1</v>
      </c>
      <c r="G293">
        <v>1</v>
      </c>
      <c r="H293">
        <v>0</v>
      </c>
      <c r="I293">
        <v>0</v>
      </c>
      <c r="K293" t="s">
        <v>87</v>
      </c>
      <c r="L293">
        <f>SUM(H289:H294)</f>
        <v>2</v>
      </c>
      <c r="M293" t="s">
        <v>193</v>
      </c>
      <c r="N293">
        <f>COUNTIF(C289:C294,M293)</f>
        <v>5</v>
      </c>
    </row>
    <row r="294" spans="1:20" x14ac:dyDescent="0.2">
      <c r="A294" s="33">
        <v>45931</v>
      </c>
      <c r="B294" s="34" t="s">
        <v>194</v>
      </c>
      <c r="C294" s="34" t="s">
        <v>193</v>
      </c>
      <c r="D294" s="34">
        <v>40</v>
      </c>
      <c r="E294" s="34">
        <v>1</v>
      </c>
      <c r="F294" s="34">
        <v>0</v>
      </c>
      <c r="G294" s="34">
        <v>1</v>
      </c>
      <c r="H294" s="34">
        <v>0</v>
      </c>
      <c r="I294" s="34">
        <v>0</v>
      </c>
      <c r="J294" s="34"/>
      <c r="K294" s="34"/>
      <c r="L294" s="34"/>
      <c r="M294" s="34"/>
      <c r="N294" s="34"/>
      <c r="O294" s="34"/>
      <c r="P294" s="34"/>
    </row>
    <row r="295" spans="1:20" x14ac:dyDescent="0.2">
      <c r="A295" s="1">
        <v>45945</v>
      </c>
      <c r="B295" t="s">
        <v>194</v>
      </c>
      <c r="C295" t="s">
        <v>193</v>
      </c>
      <c r="D295">
        <v>36</v>
      </c>
      <c r="E295">
        <v>2</v>
      </c>
      <c r="F295">
        <v>0</v>
      </c>
      <c r="G295">
        <v>0</v>
      </c>
      <c r="H295">
        <v>2</v>
      </c>
      <c r="I295">
        <v>0</v>
      </c>
    </row>
    <row r="296" spans="1:20" x14ac:dyDescent="0.2">
      <c r="A296" s="1">
        <v>45945</v>
      </c>
      <c r="B296" t="s">
        <v>194</v>
      </c>
      <c r="C296" t="s">
        <v>193</v>
      </c>
      <c r="D296">
        <v>45</v>
      </c>
      <c r="E296">
        <v>2</v>
      </c>
      <c r="F296">
        <v>1</v>
      </c>
      <c r="G296">
        <v>0</v>
      </c>
      <c r="H296">
        <v>1</v>
      </c>
      <c r="I296">
        <v>0</v>
      </c>
      <c r="K296" t="s">
        <v>25</v>
      </c>
      <c r="L296">
        <f>SUM(E295:E302)</f>
        <v>13</v>
      </c>
      <c r="M296" t="s">
        <v>52</v>
      </c>
      <c r="N296">
        <f>SUM(I295:I302)</f>
        <v>0</v>
      </c>
      <c r="O296" t="s">
        <v>195</v>
      </c>
      <c r="P296">
        <f>COUNTIF(C295:C302,O296)</f>
        <v>2</v>
      </c>
    </row>
    <row r="297" spans="1:20" x14ac:dyDescent="0.2">
      <c r="A297" s="1">
        <v>45945</v>
      </c>
      <c r="B297" t="s">
        <v>194</v>
      </c>
      <c r="C297" t="s">
        <v>193</v>
      </c>
      <c r="D297">
        <v>66</v>
      </c>
      <c r="E297">
        <v>1</v>
      </c>
      <c r="F297">
        <v>1</v>
      </c>
      <c r="G297">
        <v>0</v>
      </c>
      <c r="H297">
        <v>0</v>
      </c>
      <c r="I297">
        <v>0</v>
      </c>
      <c r="K297" t="s">
        <v>191</v>
      </c>
      <c r="L297">
        <f>SUM(F295:F302)</f>
        <v>6</v>
      </c>
      <c r="M297" t="s">
        <v>192</v>
      </c>
      <c r="N297">
        <f>COUNTIF(B295:B302,M297)</f>
        <v>2</v>
      </c>
      <c r="O297" t="s">
        <v>204</v>
      </c>
      <c r="P297" s="20">
        <f>AVERAGE(D295:D302)</f>
        <v>40</v>
      </c>
    </row>
    <row r="298" spans="1:20" x14ac:dyDescent="0.2">
      <c r="A298" s="1">
        <v>45945</v>
      </c>
      <c r="B298" t="s">
        <v>194</v>
      </c>
      <c r="C298" t="s">
        <v>195</v>
      </c>
      <c r="D298">
        <v>56</v>
      </c>
      <c r="E298">
        <v>2</v>
      </c>
      <c r="F298">
        <v>1</v>
      </c>
      <c r="G298">
        <v>1</v>
      </c>
      <c r="H298">
        <v>0</v>
      </c>
      <c r="I298">
        <v>0</v>
      </c>
      <c r="K298" t="s">
        <v>86</v>
      </c>
      <c r="L298">
        <f>SUM(G295:G302)</f>
        <v>4</v>
      </c>
      <c r="M298" t="s">
        <v>194</v>
      </c>
      <c r="N298">
        <f>COUNTIF(B295:B302,M298)</f>
        <v>6</v>
      </c>
    </row>
    <row r="299" spans="1:20" x14ac:dyDescent="0.2">
      <c r="A299" s="1">
        <v>45945</v>
      </c>
      <c r="B299" t="s">
        <v>192</v>
      </c>
      <c r="C299" t="s">
        <v>195</v>
      </c>
      <c r="D299">
        <v>32</v>
      </c>
      <c r="E299">
        <v>3</v>
      </c>
      <c r="F299">
        <v>2</v>
      </c>
      <c r="G299">
        <v>1</v>
      </c>
      <c r="H299">
        <v>0</v>
      </c>
      <c r="I299">
        <v>0</v>
      </c>
      <c r="K299" t="s">
        <v>87</v>
      </c>
      <c r="L299">
        <f>SUM(H295:H302)</f>
        <v>3</v>
      </c>
      <c r="M299" t="s">
        <v>193</v>
      </c>
      <c r="N299">
        <f>COUNTIF(C295:C302,M299)</f>
        <v>6</v>
      </c>
    </row>
    <row r="300" spans="1:20" x14ac:dyDescent="0.2">
      <c r="A300" s="1">
        <v>45945</v>
      </c>
      <c r="B300" t="s">
        <v>194</v>
      </c>
      <c r="C300" t="s">
        <v>193</v>
      </c>
      <c r="D300">
        <v>36</v>
      </c>
      <c r="E300">
        <v>1</v>
      </c>
      <c r="F300">
        <v>1</v>
      </c>
      <c r="G300">
        <v>0</v>
      </c>
      <c r="H300">
        <v>0</v>
      </c>
      <c r="I300">
        <v>0</v>
      </c>
    </row>
    <row r="301" spans="1:20" x14ac:dyDescent="0.2">
      <c r="A301" s="1">
        <v>45945</v>
      </c>
      <c r="B301" t="s">
        <v>194</v>
      </c>
      <c r="C301" t="s">
        <v>193</v>
      </c>
      <c r="D301">
        <v>23</v>
      </c>
      <c r="E301">
        <v>1</v>
      </c>
      <c r="F301">
        <v>0</v>
      </c>
      <c r="G301">
        <v>1</v>
      </c>
      <c r="H301">
        <v>0</v>
      </c>
      <c r="I301">
        <v>0</v>
      </c>
    </row>
    <row r="302" spans="1:20" x14ac:dyDescent="0.2">
      <c r="A302" s="33">
        <v>45945</v>
      </c>
      <c r="B302" s="34" t="s">
        <v>192</v>
      </c>
      <c r="C302" s="34" t="s">
        <v>193</v>
      </c>
      <c r="D302" s="34">
        <v>26</v>
      </c>
      <c r="E302" s="34">
        <v>1</v>
      </c>
      <c r="F302" s="34">
        <v>0</v>
      </c>
      <c r="G302" s="34">
        <v>1</v>
      </c>
      <c r="H302" s="34">
        <v>0</v>
      </c>
      <c r="I302" s="34">
        <v>0</v>
      </c>
      <c r="J302" s="34"/>
      <c r="K302" s="34"/>
      <c r="L302" s="34"/>
      <c r="M302" s="34"/>
      <c r="N302" s="34"/>
      <c r="O302" s="34"/>
      <c r="P302" s="34"/>
    </row>
    <row r="303" spans="1:20" x14ac:dyDescent="0.2">
      <c r="A303" s="1">
        <v>45959</v>
      </c>
      <c r="B303" t="s">
        <v>194</v>
      </c>
      <c r="C303" t="s">
        <v>193</v>
      </c>
      <c r="D303">
        <v>45</v>
      </c>
      <c r="E303">
        <v>1</v>
      </c>
      <c r="F303">
        <v>0</v>
      </c>
      <c r="G303">
        <v>0</v>
      </c>
      <c r="H303">
        <v>1</v>
      </c>
      <c r="I303">
        <v>0</v>
      </c>
      <c r="K303" t="s">
        <v>25</v>
      </c>
      <c r="L303">
        <f>SUM(E303:E304)</f>
        <v>4</v>
      </c>
      <c r="M303" t="s">
        <v>52</v>
      </c>
      <c r="N303">
        <f>SUM(I303:I304)</f>
        <v>0</v>
      </c>
      <c r="O303" t="s">
        <v>195</v>
      </c>
      <c r="P303">
        <f>COUNTIF(C303:C304,O303)</f>
        <v>1</v>
      </c>
      <c r="Q303" t="s">
        <v>86</v>
      </c>
      <c r="R303">
        <f>SUM(G303:G304)</f>
        <v>1</v>
      </c>
      <c r="S303" t="s">
        <v>194</v>
      </c>
      <c r="T303">
        <f>COUNTIF(B303:B304,S303)</f>
        <v>2</v>
      </c>
    </row>
    <row r="304" spans="1:20" x14ac:dyDescent="0.2">
      <c r="A304" s="33">
        <v>45959</v>
      </c>
      <c r="B304" s="34" t="s">
        <v>194</v>
      </c>
      <c r="C304" s="34" t="s">
        <v>195</v>
      </c>
      <c r="D304" s="34">
        <v>35</v>
      </c>
      <c r="E304" s="34">
        <v>3</v>
      </c>
      <c r="F304" s="34">
        <v>1</v>
      </c>
      <c r="G304" s="34">
        <v>1</v>
      </c>
      <c r="H304" s="34">
        <v>1</v>
      </c>
      <c r="I304" s="34">
        <v>0</v>
      </c>
      <c r="J304" s="34"/>
      <c r="K304" s="34" t="s">
        <v>191</v>
      </c>
      <c r="L304" s="34">
        <f>SUM(F303:F304)</f>
        <v>1</v>
      </c>
      <c r="M304" s="34" t="s">
        <v>192</v>
      </c>
      <c r="N304" s="34">
        <f>COUNTIF(B303:B304,M304)</f>
        <v>0</v>
      </c>
      <c r="O304" s="34" t="s">
        <v>204</v>
      </c>
      <c r="P304" s="34">
        <f>AVERAGE(D303:D304)</f>
        <v>40</v>
      </c>
      <c r="Q304" t="s">
        <v>87</v>
      </c>
      <c r="R304">
        <f>SUM(H303:H304)</f>
        <v>2</v>
      </c>
      <c r="S304" t="s">
        <v>193</v>
      </c>
      <c r="T304">
        <f>COUNTIF(C303:C304,S304)</f>
        <v>1</v>
      </c>
    </row>
    <row r="305" spans="1:16" x14ac:dyDescent="0.2">
      <c r="A305" s="1">
        <v>45973</v>
      </c>
      <c r="B305" t="s">
        <v>194</v>
      </c>
      <c r="C305" t="s">
        <v>193</v>
      </c>
      <c r="D305">
        <v>34</v>
      </c>
      <c r="E305">
        <v>1</v>
      </c>
      <c r="F305">
        <v>0</v>
      </c>
      <c r="G305">
        <v>0</v>
      </c>
      <c r="H305">
        <v>1</v>
      </c>
      <c r="I305">
        <v>0</v>
      </c>
    </row>
    <row r="306" spans="1:16" x14ac:dyDescent="0.2">
      <c r="A306" s="1">
        <v>45973</v>
      </c>
      <c r="B306" t="s">
        <v>192</v>
      </c>
      <c r="C306" t="s">
        <v>193</v>
      </c>
      <c r="D306">
        <v>45</v>
      </c>
      <c r="E306">
        <v>4</v>
      </c>
      <c r="F306">
        <v>0</v>
      </c>
      <c r="G306">
        <v>0</v>
      </c>
      <c r="H306">
        <v>0</v>
      </c>
      <c r="I306">
        <v>4</v>
      </c>
      <c r="K306" t="s">
        <v>25</v>
      </c>
      <c r="L306">
        <f>SUM(E305:E314)</f>
        <v>13</v>
      </c>
      <c r="M306" t="s">
        <v>52</v>
      </c>
      <c r="N306">
        <f>SUM(I305:I314)</f>
        <v>5</v>
      </c>
      <c r="O306" t="s">
        <v>195</v>
      </c>
      <c r="P306">
        <f>COUNTIF(C305:C314,O306)</f>
        <v>3</v>
      </c>
    </row>
    <row r="307" spans="1:16" x14ac:dyDescent="0.2">
      <c r="A307" s="1">
        <v>45973</v>
      </c>
      <c r="B307" t="s">
        <v>192</v>
      </c>
      <c r="C307" t="s">
        <v>193</v>
      </c>
      <c r="D307">
        <v>43</v>
      </c>
      <c r="E307">
        <v>1</v>
      </c>
      <c r="F307">
        <v>1</v>
      </c>
      <c r="G307">
        <v>0</v>
      </c>
      <c r="H307">
        <v>0</v>
      </c>
      <c r="I307">
        <v>0</v>
      </c>
      <c r="K307" t="s">
        <v>191</v>
      </c>
      <c r="L307">
        <f>SUM(F305:F314)</f>
        <v>3</v>
      </c>
      <c r="M307" t="s">
        <v>192</v>
      </c>
      <c r="N307">
        <f>COUNTIF(B305:B314,M307)</f>
        <v>3</v>
      </c>
      <c r="O307" t="s">
        <v>204</v>
      </c>
      <c r="P307">
        <f>AVERAGE(D305:D314)</f>
        <v>39.6</v>
      </c>
    </row>
    <row r="308" spans="1:16" x14ac:dyDescent="0.2">
      <c r="A308" s="1">
        <v>45973</v>
      </c>
      <c r="B308" t="s">
        <v>192</v>
      </c>
      <c r="C308" t="s">
        <v>195</v>
      </c>
      <c r="D308">
        <v>40</v>
      </c>
      <c r="E308">
        <v>0</v>
      </c>
      <c r="F308">
        <v>0</v>
      </c>
      <c r="G308">
        <v>0</v>
      </c>
      <c r="H308">
        <v>0</v>
      </c>
      <c r="I308">
        <v>0</v>
      </c>
      <c r="J308" t="s">
        <v>545</v>
      </c>
      <c r="K308" t="s">
        <v>86</v>
      </c>
      <c r="L308">
        <f>SUM(G305:G314)</f>
        <v>2</v>
      </c>
      <c r="M308" t="s">
        <v>194</v>
      </c>
      <c r="N308">
        <f>COUNTIF(B305:B314,M308)</f>
        <v>7</v>
      </c>
    </row>
    <row r="309" spans="1:16" x14ac:dyDescent="0.2">
      <c r="A309" s="1">
        <v>45973</v>
      </c>
      <c r="B309" t="s">
        <v>194</v>
      </c>
      <c r="C309" t="s">
        <v>193</v>
      </c>
      <c r="D309">
        <v>40</v>
      </c>
      <c r="E309">
        <v>2</v>
      </c>
      <c r="F309">
        <v>0</v>
      </c>
      <c r="G309">
        <v>1</v>
      </c>
      <c r="H309">
        <v>1</v>
      </c>
      <c r="I309">
        <v>0</v>
      </c>
      <c r="K309" t="s">
        <v>87</v>
      </c>
      <c r="L309">
        <f>SUM(H305:H314)</f>
        <v>3</v>
      </c>
      <c r="M309" t="s">
        <v>193</v>
      </c>
      <c r="N309">
        <f>COUNTIF(C305:C314,M309)</f>
        <v>7</v>
      </c>
    </row>
    <row r="310" spans="1:16" x14ac:dyDescent="0.2">
      <c r="A310" s="1">
        <v>45973</v>
      </c>
      <c r="B310" t="s">
        <v>194</v>
      </c>
      <c r="C310" t="s">
        <v>193</v>
      </c>
      <c r="D310">
        <v>34</v>
      </c>
      <c r="E310">
        <v>1</v>
      </c>
      <c r="F310">
        <v>0</v>
      </c>
      <c r="G310">
        <v>0</v>
      </c>
      <c r="H310">
        <v>1</v>
      </c>
      <c r="I310">
        <v>0</v>
      </c>
    </row>
    <row r="311" spans="1:16" x14ac:dyDescent="0.2">
      <c r="A311" s="1">
        <v>45973</v>
      </c>
      <c r="B311" t="s">
        <v>194</v>
      </c>
      <c r="C311" t="s">
        <v>193</v>
      </c>
      <c r="D311">
        <v>40</v>
      </c>
      <c r="E311">
        <v>0</v>
      </c>
      <c r="F311">
        <v>0</v>
      </c>
      <c r="G311">
        <v>0</v>
      </c>
      <c r="H311">
        <v>0</v>
      </c>
      <c r="I311">
        <v>0</v>
      </c>
      <c r="J311" t="s">
        <v>546</v>
      </c>
    </row>
    <row r="312" spans="1:16" x14ac:dyDescent="0.2">
      <c r="A312" s="1">
        <v>45973</v>
      </c>
      <c r="B312" t="s">
        <v>194</v>
      </c>
      <c r="C312" t="s">
        <v>195</v>
      </c>
      <c r="D312">
        <v>35</v>
      </c>
      <c r="E312">
        <v>1</v>
      </c>
      <c r="F312">
        <v>0</v>
      </c>
      <c r="G312">
        <v>0</v>
      </c>
      <c r="H312">
        <v>0</v>
      </c>
      <c r="I312">
        <v>1</v>
      </c>
    </row>
    <row r="313" spans="1:16" x14ac:dyDescent="0.2">
      <c r="A313" s="1">
        <v>45973</v>
      </c>
      <c r="B313" t="s">
        <v>194</v>
      </c>
      <c r="C313" t="s">
        <v>193</v>
      </c>
      <c r="D313">
        <v>38</v>
      </c>
      <c r="E313">
        <v>2</v>
      </c>
      <c r="F313">
        <v>1</v>
      </c>
      <c r="G313">
        <v>1</v>
      </c>
      <c r="H313">
        <v>0</v>
      </c>
      <c r="I313">
        <v>0</v>
      </c>
    </row>
    <row r="314" spans="1:16" x14ac:dyDescent="0.2">
      <c r="A314" s="33">
        <v>45973</v>
      </c>
      <c r="B314" s="34" t="s">
        <v>194</v>
      </c>
      <c r="C314" s="34" t="s">
        <v>195</v>
      </c>
      <c r="D314" s="34">
        <v>47</v>
      </c>
      <c r="E314" s="34">
        <v>1</v>
      </c>
      <c r="F314" s="34">
        <v>1</v>
      </c>
      <c r="G314" s="34">
        <v>0</v>
      </c>
      <c r="H314" s="34">
        <v>0</v>
      </c>
      <c r="I314" s="34">
        <v>0</v>
      </c>
      <c r="J314" s="34"/>
      <c r="K314" s="34"/>
      <c r="L314" s="34"/>
      <c r="M314" s="34"/>
      <c r="N314" s="34"/>
      <c r="O314" s="34"/>
      <c r="P314" s="34"/>
    </row>
    <row r="315" spans="1:16" x14ac:dyDescent="0.2">
      <c r="A315" s="1">
        <v>45987</v>
      </c>
      <c r="B315" t="s">
        <v>194</v>
      </c>
      <c r="C315" t="s">
        <v>193</v>
      </c>
      <c r="D315">
        <v>56</v>
      </c>
      <c r="E315">
        <v>1</v>
      </c>
      <c r="F315">
        <v>0</v>
      </c>
      <c r="G315">
        <v>0</v>
      </c>
      <c r="H315">
        <v>1</v>
      </c>
      <c r="I315">
        <v>0</v>
      </c>
    </row>
    <row r="316" spans="1:16" x14ac:dyDescent="0.2">
      <c r="A316" s="1">
        <v>45987</v>
      </c>
      <c r="B316" t="s">
        <v>194</v>
      </c>
      <c r="C316" t="s">
        <v>193</v>
      </c>
      <c r="D316">
        <v>49</v>
      </c>
      <c r="E316">
        <v>2</v>
      </c>
      <c r="F316">
        <v>1</v>
      </c>
      <c r="G316">
        <v>1</v>
      </c>
      <c r="H316">
        <v>0</v>
      </c>
      <c r="I316">
        <v>0</v>
      </c>
      <c r="K316" t="s">
        <v>25</v>
      </c>
      <c r="L316">
        <f>SUM(E315:E323)</f>
        <v>18</v>
      </c>
      <c r="M316" t="s">
        <v>52</v>
      </c>
      <c r="N316">
        <f>SUM(I315:I323)</f>
        <v>0</v>
      </c>
      <c r="O316" t="s">
        <v>195</v>
      </c>
      <c r="P316">
        <f>COUNTIF(C315:C323,O316)</f>
        <v>1</v>
      </c>
    </row>
    <row r="317" spans="1:16" x14ac:dyDescent="0.2">
      <c r="A317" s="1">
        <v>45987</v>
      </c>
      <c r="B317" t="s">
        <v>194</v>
      </c>
      <c r="C317" t="s">
        <v>193</v>
      </c>
      <c r="D317">
        <v>33</v>
      </c>
      <c r="E317">
        <v>5</v>
      </c>
      <c r="F317">
        <v>3</v>
      </c>
      <c r="G317">
        <v>2</v>
      </c>
      <c r="H317">
        <v>0</v>
      </c>
      <c r="I317">
        <v>0</v>
      </c>
      <c r="K317" t="s">
        <v>191</v>
      </c>
      <c r="L317">
        <f>SUM(F315:F323)</f>
        <v>9</v>
      </c>
      <c r="M317" t="s">
        <v>192</v>
      </c>
      <c r="N317">
        <f>COUNTIF(B315:B323,M317)</f>
        <v>0</v>
      </c>
      <c r="O317" t="s">
        <v>204</v>
      </c>
      <c r="P317" s="20">
        <f>AVERAGE(D315:D323)</f>
        <v>39.111111111111114</v>
      </c>
    </row>
    <row r="318" spans="1:16" x14ac:dyDescent="0.2">
      <c r="A318" s="1">
        <v>45987</v>
      </c>
      <c r="B318" t="s">
        <v>194</v>
      </c>
      <c r="C318" t="s">
        <v>193</v>
      </c>
      <c r="D318">
        <v>23</v>
      </c>
      <c r="E318">
        <v>2</v>
      </c>
      <c r="F318">
        <v>1</v>
      </c>
      <c r="G318">
        <v>1</v>
      </c>
      <c r="H318">
        <v>0</v>
      </c>
      <c r="I318">
        <v>0</v>
      </c>
      <c r="K318" t="s">
        <v>86</v>
      </c>
      <c r="L318">
        <f>SUM(G315:G323)</f>
        <v>4</v>
      </c>
      <c r="M318" t="s">
        <v>194</v>
      </c>
      <c r="N318">
        <f>COUNTIF(B315:B323,M318)</f>
        <v>9</v>
      </c>
    </row>
    <row r="319" spans="1:16" x14ac:dyDescent="0.2">
      <c r="A319" s="1">
        <v>45987</v>
      </c>
      <c r="B319" t="s">
        <v>194</v>
      </c>
      <c r="C319" t="s">
        <v>193</v>
      </c>
      <c r="D319">
        <v>38</v>
      </c>
      <c r="E319">
        <v>1</v>
      </c>
      <c r="F319">
        <v>0</v>
      </c>
      <c r="G319">
        <v>0</v>
      </c>
      <c r="H319">
        <v>1</v>
      </c>
      <c r="I319">
        <v>0</v>
      </c>
      <c r="K319" t="s">
        <v>87</v>
      </c>
      <c r="L319">
        <f>SUM(H315:H323)</f>
        <v>5</v>
      </c>
      <c r="M319" t="s">
        <v>193</v>
      </c>
      <c r="N319">
        <f>COUNTIF(C315:C323,M319)</f>
        <v>8</v>
      </c>
    </row>
    <row r="320" spans="1:16" x14ac:dyDescent="0.2">
      <c r="A320" s="1">
        <v>45987</v>
      </c>
      <c r="B320" t="s">
        <v>194</v>
      </c>
      <c r="C320" t="s">
        <v>195</v>
      </c>
      <c r="D320">
        <v>35</v>
      </c>
      <c r="E320">
        <v>2</v>
      </c>
      <c r="F320">
        <v>1</v>
      </c>
      <c r="G320">
        <v>0</v>
      </c>
      <c r="H320">
        <v>1</v>
      </c>
      <c r="I320">
        <v>0</v>
      </c>
    </row>
    <row r="321" spans="1:16" x14ac:dyDescent="0.2">
      <c r="A321" s="1">
        <v>45987</v>
      </c>
      <c r="B321" t="s">
        <v>194</v>
      </c>
      <c r="C321" t="s">
        <v>193</v>
      </c>
      <c r="D321">
        <v>37</v>
      </c>
      <c r="E321">
        <v>1</v>
      </c>
      <c r="F321">
        <v>0</v>
      </c>
      <c r="G321">
        <v>0</v>
      </c>
      <c r="H321">
        <v>1</v>
      </c>
      <c r="I321">
        <v>0</v>
      </c>
    </row>
    <row r="322" spans="1:16" x14ac:dyDescent="0.2">
      <c r="A322" s="1">
        <v>45987</v>
      </c>
      <c r="B322" t="s">
        <v>194</v>
      </c>
      <c r="C322" t="s">
        <v>193</v>
      </c>
      <c r="D322">
        <v>45</v>
      </c>
      <c r="E322">
        <v>2</v>
      </c>
      <c r="F322">
        <v>1</v>
      </c>
      <c r="G322">
        <v>0</v>
      </c>
      <c r="H322">
        <v>1</v>
      </c>
      <c r="I322">
        <v>0</v>
      </c>
    </row>
    <row r="323" spans="1:16" x14ac:dyDescent="0.2">
      <c r="A323" s="33">
        <v>45987</v>
      </c>
      <c r="B323" s="34" t="s">
        <v>194</v>
      </c>
      <c r="C323" s="34" t="s">
        <v>193</v>
      </c>
      <c r="D323" s="34">
        <v>36</v>
      </c>
      <c r="E323" s="34">
        <v>2</v>
      </c>
      <c r="F323" s="34">
        <v>2</v>
      </c>
      <c r="G323" s="34">
        <v>0</v>
      </c>
      <c r="H323" s="34">
        <v>0</v>
      </c>
      <c r="I323" s="34">
        <v>0</v>
      </c>
      <c r="J323" s="34"/>
      <c r="K323" s="34"/>
      <c r="L323" s="34"/>
      <c r="M323" s="34"/>
      <c r="N323" s="34"/>
      <c r="O323" s="34"/>
      <c r="P323" s="34"/>
    </row>
    <row r="324" spans="1:16" x14ac:dyDescent="0.2">
      <c r="A324" s="1">
        <v>46043</v>
      </c>
      <c r="B324" t="s">
        <v>192</v>
      </c>
      <c r="C324" t="s">
        <v>193</v>
      </c>
      <c r="D324">
        <v>32</v>
      </c>
      <c r="E324">
        <v>2</v>
      </c>
      <c r="F324">
        <v>1</v>
      </c>
      <c r="G324">
        <v>1</v>
      </c>
      <c r="H324">
        <v>0</v>
      </c>
      <c r="I324">
        <v>0</v>
      </c>
    </row>
    <row r="325" spans="1:16" x14ac:dyDescent="0.2">
      <c r="A325" s="1">
        <v>46043</v>
      </c>
      <c r="B325" t="s">
        <v>192</v>
      </c>
      <c r="C325" t="s">
        <v>193</v>
      </c>
      <c r="D325">
        <v>57</v>
      </c>
      <c r="E325">
        <v>2</v>
      </c>
      <c r="F325">
        <v>0</v>
      </c>
      <c r="G325">
        <v>1</v>
      </c>
      <c r="H325">
        <v>1</v>
      </c>
      <c r="I325">
        <v>0</v>
      </c>
      <c r="K325" t="s">
        <v>25</v>
      </c>
      <c r="L325">
        <f>SUM(E324:E329)</f>
        <v>13</v>
      </c>
      <c r="M325" t="s">
        <v>52</v>
      </c>
      <c r="N325">
        <f>SUM(I324:I329)</f>
        <v>1</v>
      </c>
      <c r="O325" t="s">
        <v>195</v>
      </c>
      <c r="P325">
        <f>COUNTIF(C324:C329,O325)</f>
        <v>1</v>
      </c>
    </row>
    <row r="326" spans="1:16" x14ac:dyDescent="0.2">
      <c r="A326" s="1">
        <v>46043</v>
      </c>
      <c r="B326" t="s">
        <v>194</v>
      </c>
      <c r="C326" t="s">
        <v>193</v>
      </c>
      <c r="D326">
        <v>40</v>
      </c>
      <c r="E326">
        <v>2</v>
      </c>
      <c r="F326">
        <v>1</v>
      </c>
      <c r="G326">
        <v>0</v>
      </c>
      <c r="H326">
        <v>0</v>
      </c>
      <c r="I326">
        <v>1</v>
      </c>
      <c r="K326" t="s">
        <v>191</v>
      </c>
      <c r="L326">
        <f>SUM(F324:F329)</f>
        <v>5</v>
      </c>
      <c r="M326" t="s">
        <v>192</v>
      </c>
      <c r="N326">
        <f>COUNTIF(B324:B329,M326)</f>
        <v>2</v>
      </c>
      <c r="O326" t="s">
        <v>204</v>
      </c>
      <c r="P326" s="20">
        <f>AVERAGE(D324:D329)</f>
        <v>43.833333333333336</v>
      </c>
    </row>
    <row r="327" spans="1:16" x14ac:dyDescent="0.2">
      <c r="A327" s="1">
        <v>46043</v>
      </c>
      <c r="B327" t="s">
        <v>194</v>
      </c>
      <c r="C327" t="s">
        <v>195</v>
      </c>
      <c r="D327">
        <v>35</v>
      </c>
      <c r="E327">
        <v>4</v>
      </c>
      <c r="F327">
        <v>2</v>
      </c>
      <c r="G327">
        <v>1</v>
      </c>
      <c r="H327">
        <v>1</v>
      </c>
      <c r="I327">
        <v>0</v>
      </c>
      <c r="K327" t="s">
        <v>86</v>
      </c>
      <c r="L327">
        <f>SUM(G324:G329)</f>
        <v>5</v>
      </c>
      <c r="M327" t="s">
        <v>194</v>
      </c>
      <c r="N327">
        <f>COUNTIF(B324:B329,M327)</f>
        <v>4</v>
      </c>
    </row>
    <row r="328" spans="1:16" x14ac:dyDescent="0.2">
      <c r="A328" s="1">
        <v>46043</v>
      </c>
      <c r="B328" t="s">
        <v>194</v>
      </c>
      <c r="C328" t="s">
        <v>193</v>
      </c>
      <c r="D328">
        <v>56</v>
      </c>
      <c r="E328">
        <v>1</v>
      </c>
      <c r="F328">
        <v>0</v>
      </c>
      <c r="G328">
        <v>1</v>
      </c>
      <c r="H328">
        <v>0</v>
      </c>
      <c r="I328">
        <v>0</v>
      </c>
      <c r="K328" t="s">
        <v>87</v>
      </c>
      <c r="L328">
        <f>SUM(H324:H329)</f>
        <v>2</v>
      </c>
      <c r="M328" t="s">
        <v>193</v>
      </c>
      <c r="N328">
        <f>COUNTIF(C324:C329,M328)</f>
        <v>5</v>
      </c>
    </row>
    <row r="329" spans="1:16" x14ac:dyDescent="0.2">
      <c r="A329" s="33">
        <v>46043</v>
      </c>
      <c r="B329" s="34" t="s">
        <v>194</v>
      </c>
      <c r="C329" s="34" t="s">
        <v>193</v>
      </c>
      <c r="D329" s="34">
        <v>43</v>
      </c>
      <c r="E329" s="34">
        <v>2</v>
      </c>
      <c r="F329" s="34">
        <v>1</v>
      </c>
      <c r="G329" s="34">
        <v>1</v>
      </c>
      <c r="H329" s="34">
        <v>0</v>
      </c>
      <c r="I329" s="34">
        <v>0</v>
      </c>
      <c r="J329" s="34"/>
      <c r="K329" s="34"/>
      <c r="L329" s="34"/>
      <c r="M329" s="34"/>
      <c r="N329" s="34"/>
      <c r="O329" s="34"/>
      <c r="P329" s="34"/>
    </row>
    <row r="330" spans="1:16" x14ac:dyDescent="0.2">
      <c r="A330" s="1">
        <v>46057</v>
      </c>
      <c r="B330" t="s">
        <v>192</v>
      </c>
      <c r="C330" t="s">
        <v>193</v>
      </c>
      <c r="D330">
        <v>40</v>
      </c>
      <c r="E330">
        <v>1</v>
      </c>
      <c r="F330">
        <v>0</v>
      </c>
      <c r="G330">
        <v>0</v>
      </c>
      <c r="H330">
        <v>1</v>
      </c>
      <c r="I330">
        <v>0</v>
      </c>
    </row>
    <row r="331" spans="1:16" x14ac:dyDescent="0.2">
      <c r="A331" s="1">
        <v>46057</v>
      </c>
      <c r="B331" t="s">
        <v>194</v>
      </c>
      <c r="C331" t="s">
        <v>193</v>
      </c>
      <c r="D331">
        <v>40</v>
      </c>
      <c r="E331">
        <v>1</v>
      </c>
      <c r="F331">
        <v>1</v>
      </c>
      <c r="G331">
        <v>0</v>
      </c>
      <c r="H331">
        <v>0</v>
      </c>
      <c r="I331">
        <v>0</v>
      </c>
      <c r="K331" t="s">
        <v>25</v>
      </c>
      <c r="L331">
        <f>SUM(E330:E336)</f>
        <v>10</v>
      </c>
      <c r="M331" t="s">
        <v>52</v>
      </c>
      <c r="N331">
        <f>SUM(I330:I336)</f>
        <v>0</v>
      </c>
      <c r="O331" t="s">
        <v>195</v>
      </c>
      <c r="P331">
        <f>COUNTIF(C330:C336,O331)</f>
        <v>3</v>
      </c>
    </row>
    <row r="332" spans="1:16" x14ac:dyDescent="0.2">
      <c r="A332" s="1">
        <v>46057</v>
      </c>
      <c r="B332" t="s">
        <v>194</v>
      </c>
      <c r="C332" t="s">
        <v>193</v>
      </c>
      <c r="D332">
        <v>40</v>
      </c>
      <c r="E332">
        <v>2</v>
      </c>
      <c r="F332">
        <v>1</v>
      </c>
      <c r="G332">
        <v>1</v>
      </c>
      <c r="H332">
        <v>0</v>
      </c>
      <c r="I332">
        <v>0</v>
      </c>
      <c r="K332" t="s">
        <v>191</v>
      </c>
      <c r="L332">
        <f>SUM(F330:F336)</f>
        <v>5</v>
      </c>
      <c r="M332" t="s">
        <v>192</v>
      </c>
      <c r="N332">
        <f>COUNTIF(B330:B336,M332)</f>
        <v>1</v>
      </c>
      <c r="O332" t="s">
        <v>204</v>
      </c>
      <c r="P332" s="20">
        <f>AVERAGE(D330:D336)</f>
        <v>43.142857142857146</v>
      </c>
    </row>
    <row r="333" spans="1:16" x14ac:dyDescent="0.2">
      <c r="A333" s="1">
        <v>46057</v>
      </c>
      <c r="B333" t="s">
        <v>194</v>
      </c>
      <c r="C333" t="s">
        <v>195</v>
      </c>
      <c r="D333">
        <v>47</v>
      </c>
      <c r="E333">
        <v>2</v>
      </c>
      <c r="F333">
        <v>1</v>
      </c>
      <c r="G333">
        <v>1</v>
      </c>
      <c r="H333">
        <v>0</v>
      </c>
      <c r="I333">
        <v>0</v>
      </c>
      <c r="K333" t="s">
        <v>86</v>
      </c>
      <c r="L333">
        <f>SUM(G330:G336)</f>
        <v>3</v>
      </c>
      <c r="M333" t="s">
        <v>194</v>
      </c>
      <c r="N333">
        <f>COUNTIF(B330:B336,M333)</f>
        <v>6</v>
      </c>
    </row>
    <row r="334" spans="1:16" x14ac:dyDescent="0.2">
      <c r="A334" s="1">
        <v>46057</v>
      </c>
      <c r="B334" t="s">
        <v>194</v>
      </c>
      <c r="C334" t="s">
        <v>195</v>
      </c>
      <c r="D334">
        <v>44</v>
      </c>
      <c r="E334">
        <v>1</v>
      </c>
      <c r="F334">
        <v>0</v>
      </c>
      <c r="G334">
        <v>0</v>
      </c>
      <c r="H334">
        <v>1</v>
      </c>
      <c r="I334">
        <v>0</v>
      </c>
      <c r="K334" t="s">
        <v>87</v>
      </c>
      <c r="L334">
        <f>SUM(H330:H336)</f>
        <v>2</v>
      </c>
      <c r="M334" t="s">
        <v>193</v>
      </c>
      <c r="N334">
        <f>COUNTIF(C330:C336,M334)</f>
        <v>4</v>
      </c>
    </row>
    <row r="335" spans="1:16" x14ac:dyDescent="0.2">
      <c r="A335" s="1">
        <v>46057</v>
      </c>
      <c r="B335" t="s">
        <v>194</v>
      </c>
      <c r="C335" t="s">
        <v>193</v>
      </c>
      <c r="D335">
        <v>33</v>
      </c>
      <c r="E335">
        <v>1</v>
      </c>
      <c r="F335">
        <v>1</v>
      </c>
      <c r="G335">
        <v>0</v>
      </c>
      <c r="H335">
        <v>0</v>
      </c>
      <c r="I335">
        <v>0</v>
      </c>
    </row>
    <row r="336" spans="1:16" x14ac:dyDescent="0.2">
      <c r="A336" s="33">
        <v>46057</v>
      </c>
      <c r="B336" s="34" t="s">
        <v>194</v>
      </c>
      <c r="C336" s="34" t="s">
        <v>195</v>
      </c>
      <c r="D336" s="34">
        <v>58</v>
      </c>
      <c r="E336" s="34">
        <v>2</v>
      </c>
      <c r="F336" s="34">
        <v>1</v>
      </c>
      <c r="G336" s="34">
        <v>1</v>
      </c>
      <c r="H336" s="34">
        <v>0</v>
      </c>
      <c r="I336" s="34">
        <v>0</v>
      </c>
      <c r="J336" s="34"/>
      <c r="K336" s="34"/>
      <c r="L336" s="34"/>
      <c r="M336" s="34"/>
      <c r="N336" s="34"/>
      <c r="O336" s="34"/>
      <c r="P336" s="34"/>
    </row>
    <row r="337" spans="1:16" x14ac:dyDescent="0.2">
      <c r="A337" s="1">
        <v>46085</v>
      </c>
      <c r="B337" t="s">
        <v>194</v>
      </c>
      <c r="C337" t="s">
        <v>193</v>
      </c>
      <c r="D337">
        <v>43</v>
      </c>
      <c r="E337">
        <v>2</v>
      </c>
      <c r="F337">
        <v>1</v>
      </c>
      <c r="G337">
        <v>1</v>
      </c>
      <c r="H337">
        <v>0</v>
      </c>
      <c r="I337">
        <v>0</v>
      </c>
    </row>
    <row r="338" spans="1:16" x14ac:dyDescent="0.2">
      <c r="A338" s="1">
        <v>46085</v>
      </c>
      <c r="B338" t="s">
        <v>194</v>
      </c>
      <c r="C338" t="s">
        <v>193</v>
      </c>
      <c r="D338">
        <v>46</v>
      </c>
      <c r="E338">
        <v>3</v>
      </c>
      <c r="F338">
        <v>1</v>
      </c>
      <c r="G338">
        <v>1</v>
      </c>
      <c r="H338">
        <v>1</v>
      </c>
      <c r="I338">
        <v>0</v>
      </c>
      <c r="K338" t="s">
        <v>25</v>
      </c>
      <c r="L338">
        <f>SUM(E337:E343)</f>
        <v>12</v>
      </c>
      <c r="M338" t="s">
        <v>52</v>
      </c>
      <c r="N338">
        <f>SUM(I337:I343)</f>
        <v>0</v>
      </c>
      <c r="O338" t="s">
        <v>195</v>
      </c>
      <c r="P338">
        <f>COUNTIF(C337:C343,O338)</f>
        <v>0</v>
      </c>
    </row>
    <row r="339" spans="1:16" x14ac:dyDescent="0.2">
      <c r="A339" s="1">
        <v>46085</v>
      </c>
      <c r="B339" t="s">
        <v>194</v>
      </c>
      <c r="C339" t="s">
        <v>193</v>
      </c>
      <c r="D339">
        <v>23</v>
      </c>
      <c r="E339">
        <v>2</v>
      </c>
      <c r="F339">
        <v>1</v>
      </c>
      <c r="G339">
        <v>1</v>
      </c>
      <c r="H339">
        <v>0</v>
      </c>
      <c r="I339">
        <v>0</v>
      </c>
      <c r="K339" t="s">
        <v>191</v>
      </c>
      <c r="L339">
        <f>SUM(F337:F343)</f>
        <v>6</v>
      </c>
      <c r="M339" t="s">
        <v>192</v>
      </c>
      <c r="N339">
        <f>COUNTIF(B337:B343,M339)</f>
        <v>0</v>
      </c>
      <c r="O339" t="s">
        <v>204</v>
      </c>
      <c r="P339" s="20">
        <f>AVERAGE(D337:D343)</f>
        <v>38.571428571428569</v>
      </c>
    </row>
    <row r="340" spans="1:16" x14ac:dyDescent="0.2">
      <c r="A340" s="1">
        <v>46085</v>
      </c>
      <c r="B340" t="s">
        <v>194</v>
      </c>
      <c r="C340" t="s">
        <v>193</v>
      </c>
      <c r="D340">
        <v>40</v>
      </c>
      <c r="E340">
        <v>0</v>
      </c>
      <c r="F340">
        <v>0</v>
      </c>
      <c r="G340">
        <v>0</v>
      </c>
      <c r="H340">
        <v>0</v>
      </c>
      <c r="I340">
        <v>0</v>
      </c>
      <c r="J340" t="s">
        <v>616</v>
      </c>
      <c r="K340" t="s">
        <v>86</v>
      </c>
      <c r="L340">
        <f>SUM(G337:G343)</f>
        <v>5</v>
      </c>
      <c r="M340" t="s">
        <v>194</v>
      </c>
      <c r="N340">
        <f>COUNTIF(B337:B343,M340)</f>
        <v>7</v>
      </c>
    </row>
    <row r="341" spans="1:16" x14ac:dyDescent="0.2">
      <c r="A341" s="1">
        <v>46085</v>
      </c>
      <c r="B341" t="s">
        <v>194</v>
      </c>
      <c r="C341" t="s">
        <v>193</v>
      </c>
      <c r="D341">
        <v>35</v>
      </c>
      <c r="E341">
        <v>1</v>
      </c>
      <c r="F341">
        <v>1</v>
      </c>
      <c r="G341">
        <v>0</v>
      </c>
      <c r="H341">
        <v>0</v>
      </c>
      <c r="I341">
        <v>0</v>
      </c>
      <c r="K341" t="s">
        <v>87</v>
      </c>
      <c r="L341">
        <f>SUM(H337:H343)</f>
        <v>1</v>
      </c>
      <c r="M341" t="s">
        <v>193</v>
      </c>
      <c r="N341">
        <f>COUNTIF(C337:C343,M341)</f>
        <v>7</v>
      </c>
    </row>
    <row r="342" spans="1:16" x14ac:dyDescent="0.2">
      <c r="A342" s="1">
        <v>46085</v>
      </c>
      <c r="B342" t="s">
        <v>194</v>
      </c>
      <c r="C342" t="s">
        <v>193</v>
      </c>
      <c r="D342">
        <v>33</v>
      </c>
      <c r="E342">
        <v>3</v>
      </c>
      <c r="F342">
        <v>2</v>
      </c>
      <c r="G342">
        <v>1</v>
      </c>
      <c r="H342">
        <v>0</v>
      </c>
      <c r="I342">
        <v>0</v>
      </c>
    </row>
    <row r="343" spans="1:16" x14ac:dyDescent="0.2">
      <c r="A343" s="33">
        <v>46085</v>
      </c>
      <c r="B343" s="34" t="s">
        <v>194</v>
      </c>
      <c r="C343" s="34" t="s">
        <v>193</v>
      </c>
      <c r="D343" s="34">
        <v>50</v>
      </c>
      <c r="E343" s="34">
        <v>1</v>
      </c>
      <c r="F343" s="34">
        <v>0</v>
      </c>
      <c r="G343" s="34">
        <v>1</v>
      </c>
      <c r="H343" s="34">
        <v>0</v>
      </c>
      <c r="I343" s="34">
        <v>0</v>
      </c>
      <c r="J343" s="34"/>
      <c r="K343" s="34"/>
      <c r="L343" s="34"/>
      <c r="M343" s="34"/>
      <c r="N343" s="34"/>
      <c r="O343" s="34"/>
      <c r="P343" s="34"/>
    </row>
    <row r="344" spans="1:16" x14ac:dyDescent="0.2">
      <c r="A344" s="1">
        <v>46099</v>
      </c>
      <c r="B344" t="s">
        <v>194</v>
      </c>
      <c r="C344" t="s">
        <v>193</v>
      </c>
      <c r="D344">
        <v>45</v>
      </c>
      <c r="E344">
        <v>1</v>
      </c>
      <c r="F344">
        <v>1</v>
      </c>
      <c r="G344">
        <v>0</v>
      </c>
      <c r="H344">
        <v>0</v>
      </c>
      <c r="I344">
        <v>0</v>
      </c>
    </row>
    <row r="345" spans="1:16" x14ac:dyDescent="0.2">
      <c r="A345" s="1">
        <v>46099</v>
      </c>
      <c r="B345" t="s">
        <v>194</v>
      </c>
      <c r="C345" t="s">
        <v>193</v>
      </c>
      <c r="D345">
        <v>23</v>
      </c>
      <c r="E345">
        <v>2</v>
      </c>
      <c r="F345">
        <v>1</v>
      </c>
      <c r="G345">
        <v>1</v>
      </c>
      <c r="H345">
        <v>0</v>
      </c>
      <c r="I345">
        <v>0</v>
      </c>
      <c r="K345" t="s">
        <v>25</v>
      </c>
      <c r="L345">
        <f>SUM(E344:E352)</f>
        <v>11</v>
      </c>
      <c r="M345" t="s">
        <v>52</v>
      </c>
      <c r="N345">
        <f>SUM(I344:I352)</f>
        <v>0</v>
      </c>
      <c r="O345" t="s">
        <v>195</v>
      </c>
      <c r="P345">
        <f>COUNTIF(C344:C352,O345)</f>
        <v>2</v>
      </c>
    </row>
    <row r="346" spans="1:16" x14ac:dyDescent="0.2">
      <c r="A346" s="1">
        <v>46099</v>
      </c>
      <c r="B346" t="s">
        <v>194</v>
      </c>
      <c r="C346" t="s">
        <v>195</v>
      </c>
      <c r="D346">
        <v>54</v>
      </c>
      <c r="E346">
        <v>1</v>
      </c>
      <c r="F346">
        <v>1</v>
      </c>
      <c r="G346">
        <v>0</v>
      </c>
      <c r="H346">
        <v>0</v>
      </c>
      <c r="I346">
        <v>0</v>
      </c>
      <c r="K346" t="s">
        <v>191</v>
      </c>
      <c r="L346">
        <f>SUM(F344:F352)</f>
        <v>8</v>
      </c>
      <c r="M346" t="s">
        <v>192</v>
      </c>
      <c r="N346">
        <f>COUNTIF(B344:B352,M346)</f>
        <v>1</v>
      </c>
      <c r="O346" t="s">
        <v>204</v>
      </c>
      <c r="P346" s="20">
        <f>AVERAGE(D344:D352)</f>
        <v>43.111111111111114</v>
      </c>
    </row>
    <row r="347" spans="1:16" x14ac:dyDescent="0.2">
      <c r="A347" s="1">
        <v>46099</v>
      </c>
      <c r="B347" t="s">
        <v>194</v>
      </c>
      <c r="C347" t="s">
        <v>193</v>
      </c>
      <c r="D347">
        <v>39</v>
      </c>
      <c r="E347">
        <v>1</v>
      </c>
      <c r="F347">
        <v>1</v>
      </c>
      <c r="G347">
        <v>0</v>
      </c>
      <c r="H347">
        <v>0</v>
      </c>
      <c r="I347">
        <v>0</v>
      </c>
      <c r="K347" t="s">
        <v>86</v>
      </c>
      <c r="L347">
        <f>SUM(G344:G352)</f>
        <v>2</v>
      </c>
      <c r="M347" t="s">
        <v>194</v>
      </c>
      <c r="N347">
        <f>COUNTIF(B344:B352,M347)</f>
        <v>8</v>
      </c>
    </row>
    <row r="348" spans="1:16" x14ac:dyDescent="0.2">
      <c r="A348" s="1">
        <v>46099</v>
      </c>
      <c r="B348" t="s">
        <v>194</v>
      </c>
      <c r="C348" t="s">
        <v>195</v>
      </c>
      <c r="D348">
        <v>35</v>
      </c>
      <c r="E348">
        <v>1</v>
      </c>
      <c r="F348">
        <v>1</v>
      </c>
      <c r="G348">
        <v>0</v>
      </c>
      <c r="H348">
        <v>0</v>
      </c>
      <c r="I348">
        <v>0</v>
      </c>
      <c r="K348" t="s">
        <v>87</v>
      </c>
      <c r="L348">
        <f>SUM(H344:H352)</f>
        <v>1</v>
      </c>
      <c r="M348" t="s">
        <v>193</v>
      </c>
      <c r="N348">
        <f>COUNTIF(C344:C352,M348)</f>
        <v>7</v>
      </c>
    </row>
    <row r="349" spans="1:16" x14ac:dyDescent="0.2">
      <c r="A349" s="1">
        <v>46099</v>
      </c>
      <c r="B349" t="s">
        <v>194</v>
      </c>
      <c r="C349" t="s">
        <v>193</v>
      </c>
      <c r="D349">
        <v>45</v>
      </c>
      <c r="E349">
        <v>1</v>
      </c>
      <c r="F349">
        <v>1</v>
      </c>
      <c r="G349">
        <v>0</v>
      </c>
      <c r="H349">
        <v>0</v>
      </c>
      <c r="I349">
        <v>0</v>
      </c>
    </row>
    <row r="350" spans="1:16" x14ac:dyDescent="0.2">
      <c r="A350" s="1">
        <v>46099</v>
      </c>
      <c r="B350" t="s">
        <v>194</v>
      </c>
      <c r="C350" t="s">
        <v>193</v>
      </c>
      <c r="D350">
        <v>55</v>
      </c>
      <c r="E350">
        <v>2</v>
      </c>
      <c r="F350">
        <v>1</v>
      </c>
      <c r="G350">
        <v>1</v>
      </c>
      <c r="H350">
        <v>0</v>
      </c>
      <c r="I350">
        <v>0</v>
      </c>
    </row>
    <row r="351" spans="1:16" x14ac:dyDescent="0.2">
      <c r="A351" s="1">
        <v>46099</v>
      </c>
      <c r="B351" t="s">
        <v>194</v>
      </c>
      <c r="C351" t="s">
        <v>193</v>
      </c>
      <c r="D351">
        <v>37</v>
      </c>
      <c r="E351">
        <v>1</v>
      </c>
      <c r="F351">
        <v>1</v>
      </c>
      <c r="G351">
        <v>0</v>
      </c>
      <c r="H351">
        <v>0</v>
      </c>
      <c r="I351">
        <v>0</v>
      </c>
    </row>
    <row r="352" spans="1:16" x14ac:dyDescent="0.2">
      <c r="A352" s="33">
        <v>46099</v>
      </c>
      <c r="B352" s="34" t="s">
        <v>192</v>
      </c>
      <c r="C352" s="34" t="s">
        <v>193</v>
      </c>
      <c r="D352" s="34">
        <v>55</v>
      </c>
      <c r="E352" s="34">
        <v>1</v>
      </c>
      <c r="F352" s="34">
        <v>0</v>
      </c>
      <c r="G352" s="34">
        <v>0</v>
      </c>
      <c r="H352" s="34">
        <v>1</v>
      </c>
      <c r="I352" s="34">
        <v>0</v>
      </c>
      <c r="J352" s="34"/>
      <c r="K352" s="34"/>
      <c r="L352" s="34"/>
      <c r="M352" s="34"/>
      <c r="N352" s="34"/>
      <c r="O352" s="34"/>
      <c r="P352" s="34"/>
    </row>
    <row r="353" spans="1:16" x14ac:dyDescent="0.2">
      <c r="A353" s="1">
        <v>46113</v>
      </c>
      <c r="B353" t="s">
        <v>194</v>
      </c>
      <c r="C353" t="s">
        <v>193</v>
      </c>
      <c r="D353">
        <v>54</v>
      </c>
      <c r="E353">
        <v>2</v>
      </c>
      <c r="F353">
        <v>1</v>
      </c>
      <c r="G353">
        <v>0</v>
      </c>
      <c r="H353">
        <v>1</v>
      </c>
      <c r="I353">
        <v>0</v>
      </c>
    </row>
    <row r="354" spans="1:16" x14ac:dyDescent="0.2">
      <c r="A354" s="1">
        <v>46113</v>
      </c>
      <c r="B354" t="s">
        <v>194</v>
      </c>
      <c r="C354" t="s">
        <v>193</v>
      </c>
      <c r="D354">
        <v>57</v>
      </c>
      <c r="E354">
        <v>1</v>
      </c>
      <c r="F354">
        <v>0</v>
      </c>
      <c r="G354">
        <v>0</v>
      </c>
      <c r="H354">
        <v>1</v>
      </c>
      <c r="I354">
        <v>0</v>
      </c>
      <c r="K354" t="s">
        <v>25</v>
      </c>
      <c r="L354">
        <f>SUM(E353:E366)</f>
        <v>22</v>
      </c>
      <c r="M354" t="s">
        <v>52</v>
      </c>
      <c r="N354">
        <f>SUM(I353:I366)</f>
        <v>1</v>
      </c>
      <c r="O354" t="s">
        <v>195</v>
      </c>
      <c r="P354">
        <f>COUNTIF(C353:C366,O354)</f>
        <v>2</v>
      </c>
    </row>
    <row r="355" spans="1:16" x14ac:dyDescent="0.2">
      <c r="A355" s="1">
        <v>46113</v>
      </c>
      <c r="B355" t="s">
        <v>194</v>
      </c>
      <c r="C355" t="s">
        <v>193</v>
      </c>
      <c r="D355">
        <v>41</v>
      </c>
      <c r="E355">
        <v>3</v>
      </c>
      <c r="F355">
        <v>1</v>
      </c>
      <c r="G355">
        <v>1</v>
      </c>
      <c r="H355">
        <v>1</v>
      </c>
      <c r="I355">
        <v>0</v>
      </c>
      <c r="K355" t="s">
        <v>191</v>
      </c>
      <c r="L355">
        <f>SUM(F353:F366)</f>
        <v>10</v>
      </c>
      <c r="M355" t="s">
        <v>192</v>
      </c>
      <c r="N355">
        <f>COUNTIF(B353:B366,M355)</f>
        <v>3</v>
      </c>
      <c r="O355" t="s">
        <v>204</v>
      </c>
      <c r="P355" s="20">
        <f>AVERAGE(D353:D366)</f>
        <v>49.5</v>
      </c>
    </row>
    <row r="356" spans="1:16" x14ac:dyDescent="0.2">
      <c r="A356" s="1">
        <v>46113</v>
      </c>
      <c r="B356" t="s">
        <v>194</v>
      </c>
      <c r="C356" t="s">
        <v>193</v>
      </c>
      <c r="D356">
        <v>42</v>
      </c>
      <c r="E356">
        <v>1</v>
      </c>
      <c r="F356">
        <v>1</v>
      </c>
      <c r="G356">
        <v>0</v>
      </c>
      <c r="H356">
        <v>0</v>
      </c>
      <c r="I356">
        <v>0</v>
      </c>
      <c r="K356" t="s">
        <v>86</v>
      </c>
      <c r="L356">
        <f>SUM(G353:G366)</f>
        <v>8</v>
      </c>
      <c r="M356" t="s">
        <v>194</v>
      </c>
      <c r="N356">
        <f>COUNTIF(B353:B366,M356)</f>
        <v>11</v>
      </c>
    </row>
    <row r="357" spans="1:16" x14ac:dyDescent="0.2">
      <c r="A357" s="1">
        <v>46113</v>
      </c>
      <c r="B357" t="s">
        <v>194</v>
      </c>
      <c r="C357" t="s">
        <v>193</v>
      </c>
      <c r="D357">
        <v>45</v>
      </c>
      <c r="E357">
        <v>4</v>
      </c>
      <c r="F357">
        <v>1</v>
      </c>
      <c r="G357">
        <v>3</v>
      </c>
      <c r="H357">
        <v>0</v>
      </c>
      <c r="I357">
        <v>0</v>
      </c>
      <c r="K357" t="s">
        <v>87</v>
      </c>
      <c r="L357">
        <f>SUM(H353:H366)</f>
        <v>3</v>
      </c>
      <c r="M357" t="s">
        <v>193</v>
      </c>
      <c r="N357">
        <f>COUNTIF(C353:C366,M357)</f>
        <v>12</v>
      </c>
    </row>
    <row r="358" spans="1:16" x14ac:dyDescent="0.2">
      <c r="A358" s="1">
        <v>46113</v>
      </c>
      <c r="B358" t="s">
        <v>194</v>
      </c>
      <c r="C358" t="s">
        <v>195</v>
      </c>
      <c r="D358">
        <v>44</v>
      </c>
      <c r="E358">
        <v>0</v>
      </c>
      <c r="F358">
        <v>0</v>
      </c>
      <c r="G358">
        <v>0</v>
      </c>
      <c r="H358">
        <v>0</v>
      </c>
      <c r="I358">
        <v>0</v>
      </c>
      <c r="J358" t="s">
        <v>649</v>
      </c>
    </row>
    <row r="359" spans="1:16" x14ac:dyDescent="0.2">
      <c r="A359" s="1">
        <v>46113</v>
      </c>
      <c r="B359" t="s">
        <v>194</v>
      </c>
      <c r="C359" t="s">
        <v>193</v>
      </c>
      <c r="D359">
        <v>43</v>
      </c>
      <c r="E359">
        <v>2</v>
      </c>
      <c r="F359">
        <v>1</v>
      </c>
      <c r="G359">
        <v>1</v>
      </c>
      <c r="H359">
        <v>0</v>
      </c>
      <c r="I359">
        <v>0</v>
      </c>
    </row>
    <row r="360" spans="1:16" x14ac:dyDescent="0.2">
      <c r="A360" s="1">
        <v>46113</v>
      </c>
      <c r="B360" t="s">
        <v>194</v>
      </c>
      <c r="C360" t="s">
        <v>195</v>
      </c>
      <c r="D360">
        <v>49</v>
      </c>
      <c r="E360">
        <v>1</v>
      </c>
      <c r="F360">
        <v>1</v>
      </c>
      <c r="G360">
        <v>0</v>
      </c>
      <c r="H360">
        <v>0</v>
      </c>
      <c r="I360">
        <v>0</v>
      </c>
    </row>
    <row r="361" spans="1:16" x14ac:dyDescent="0.2">
      <c r="A361" s="1">
        <v>46113</v>
      </c>
      <c r="B361" t="s">
        <v>194</v>
      </c>
      <c r="C361" t="s">
        <v>193</v>
      </c>
      <c r="D361">
        <v>53</v>
      </c>
      <c r="E361">
        <v>0</v>
      </c>
      <c r="F361">
        <v>0</v>
      </c>
      <c r="G361">
        <v>0</v>
      </c>
      <c r="H361">
        <v>0</v>
      </c>
      <c r="I361">
        <v>0</v>
      </c>
      <c r="J361" t="s">
        <v>650</v>
      </c>
    </row>
    <row r="362" spans="1:16" x14ac:dyDescent="0.2">
      <c r="A362" s="1">
        <v>46113</v>
      </c>
      <c r="B362" t="s">
        <v>194</v>
      </c>
      <c r="C362" t="s">
        <v>193</v>
      </c>
      <c r="D362">
        <v>50</v>
      </c>
      <c r="E362">
        <v>2</v>
      </c>
      <c r="F362">
        <v>1</v>
      </c>
      <c r="G362">
        <v>1</v>
      </c>
      <c r="H362">
        <v>0</v>
      </c>
      <c r="I362">
        <v>0</v>
      </c>
    </row>
    <row r="363" spans="1:16" x14ac:dyDescent="0.2">
      <c r="A363" s="1">
        <v>46113</v>
      </c>
      <c r="B363" t="s">
        <v>192</v>
      </c>
      <c r="C363" t="s">
        <v>193</v>
      </c>
      <c r="D363">
        <v>55</v>
      </c>
      <c r="E363">
        <v>1</v>
      </c>
      <c r="F363">
        <v>1</v>
      </c>
      <c r="G363">
        <v>0</v>
      </c>
      <c r="H363">
        <v>0</v>
      </c>
      <c r="I363">
        <v>0</v>
      </c>
    </row>
    <row r="364" spans="1:16" x14ac:dyDescent="0.2">
      <c r="A364" s="1">
        <v>46113</v>
      </c>
      <c r="B364" t="s">
        <v>192</v>
      </c>
      <c r="C364" t="s">
        <v>193</v>
      </c>
      <c r="D364">
        <v>55</v>
      </c>
      <c r="E364">
        <v>3</v>
      </c>
      <c r="F364">
        <v>1</v>
      </c>
      <c r="G364">
        <v>1</v>
      </c>
      <c r="H364">
        <v>0</v>
      </c>
      <c r="I364">
        <v>1</v>
      </c>
    </row>
    <row r="365" spans="1:16" x14ac:dyDescent="0.2">
      <c r="A365" s="1">
        <v>46113</v>
      </c>
      <c r="B365" t="s">
        <v>192</v>
      </c>
      <c r="C365" t="s">
        <v>193</v>
      </c>
      <c r="D365">
        <v>55</v>
      </c>
      <c r="E365">
        <v>0</v>
      </c>
      <c r="F365">
        <v>0</v>
      </c>
      <c r="G365">
        <v>0</v>
      </c>
      <c r="H365">
        <v>0</v>
      </c>
      <c r="I365">
        <v>0</v>
      </c>
      <c r="J365" t="s">
        <v>655</v>
      </c>
    </row>
    <row r="366" spans="1:16" x14ac:dyDescent="0.2">
      <c r="A366" s="33">
        <v>46113</v>
      </c>
      <c r="B366" s="34" t="s">
        <v>194</v>
      </c>
      <c r="C366" s="34" t="s">
        <v>193</v>
      </c>
      <c r="D366" s="34">
        <v>50</v>
      </c>
      <c r="E366" s="34">
        <v>2</v>
      </c>
      <c r="F366" s="34">
        <v>1</v>
      </c>
      <c r="G366" s="34">
        <v>1</v>
      </c>
      <c r="H366" s="34">
        <v>0</v>
      </c>
      <c r="I366" s="34">
        <v>0</v>
      </c>
      <c r="J366" s="34"/>
      <c r="K366" s="34"/>
      <c r="L366" s="34"/>
      <c r="M366" s="34"/>
      <c r="N366" s="34"/>
      <c r="O366" s="34"/>
      <c r="P366" s="34"/>
    </row>
  </sheetData>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B339-28C2-BF44-953D-558E0B0AD154}">
  <dimension ref="A1:J305"/>
  <sheetViews>
    <sheetView workbookViewId="0">
      <selection activeCell="L65" sqref="L65"/>
    </sheetView>
  </sheetViews>
  <sheetFormatPr baseColWidth="10" defaultRowHeight="16" x14ac:dyDescent="0.2"/>
  <cols>
    <col min="1" max="1" width="11.83203125" bestFit="1" customWidth="1"/>
    <col min="2" max="2" width="11.83203125" customWidth="1"/>
    <col min="3" max="3" width="11.83203125" bestFit="1" customWidth="1"/>
    <col min="4" max="4" width="10.1640625" bestFit="1" customWidth="1"/>
    <col min="6" max="6" width="18.83203125" customWidth="1"/>
    <col min="7" max="7" width="9.1640625" customWidth="1"/>
    <col min="8" max="8" width="70.33203125" bestFit="1" customWidth="1"/>
  </cols>
  <sheetData>
    <row r="1" spans="1:10" x14ac:dyDescent="0.2">
      <c r="A1" s="5" t="s">
        <v>0</v>
      </c>
      <c r="B1" s="7" t="s">
        <v>4</v>
      </c>
      <c r="C1" s="7" t="s">
        <v>1</v>
      </c>
      <c r="D1" s="7" t="s">
        <v>2</v>
      </c>
      <c r="E1" s="7" t="s">
        <v>13</v>
      </c>
      <c r="F1" s="7" t="s">
        <v>14</v>
      </c>
      <c r="G1" s="7" t="s">
        <v>90</v>
      </c>
      <c r="H1" s="8" t="s">
        <v>16</v>
      </c>
    </row>
    <row r="2" spans="1:10" x14ac:dyDescent="0.2">
      <c r="A2">
        <v>95</v>
      </c>
      <c r="B2" s="1">
        <v>45070</v>
      </c>
      <c r="C2" t="s">
        <v>7</v>
      </c>
      <c r="D2">
        <v>77</v>
      </c>
      <c r="E2">
        <v>0.04</v>
      </c>
      <c r="F2" t="s">
        <v>37</v>
      </c>
      <c r="H2" t="s">
        <v>54</v>
      </c>
    </row>
    <row r="3" spans="1:10" x14ac:dyDescent="0.2">
      <c r="A3">
        <v>94</v>
      </c>
      <c r="B3" s="1">
        <v>45070</v>
      </c>
      <c r="C3" t="s">
        <v>7</v>
      </c>
      <c r="D3">
        <v>64.2</v>
      </c>
      <c r="E3">
        <v>0.06</v>
      </c>
      <c r="F3" t="s">
        <v>37</v>
      </c>
      <c r="H3" t="s">
        <v>54</v>
      </c>
      <c r="J3" s="46">
        <f>AVERAGE(E8:E14,E16:E19,E21:E31,E33:E222,E224:E225,E228,E230:E233)</f>
        <v>0.16552511415525129</v>
      </c>
    </row>
    <row r="4" spans="1:10" x14ac:dyDescent="0.2">
      <c r="A4">
        <v>143</v>
      </c>
      <c r="B4" s="1">
        <v>45315</v>
      </c>
      <c r="C4" t="s">
        <v>7</v>
      </c>
      <c r="D4">
        <v>60.9</v>
      </c>
      <c r="E4">
        <v>0.08</v>
      </c>
      <c r="F4" t="s">
        <v>18</v>
      </c>
      <c r="H4" t="s">
        <v>65</v>
      </c>
    </row>
    <row r="5" spans="1:10" x14ac:dyDescent="0.2">
      <c r="A5">
        <v>163</v>
      </c>
      <c r="B5" s="1">
        <v>45392</v>
      </c>
      <c r="C5" t="s">
        <v>7</v>
      </c>
      <c r="D5">
        <v>58.7</v>
      </c>
      <c r="E5">
        <v>0.08</v>
      </c>
      <c r="F5" t="s">
        <v>37</v>
      </c>
      <c r="G5">
        <v>10</v>
      </c>
      <c r="H5" t="s">
        <v>94</v>
      </c>
    </row>
    <row r="6" spans="1:10" x14ac:dyDescent="0.2">
      <c r="A6">
        <v>175</v>
      </c>
      <c r="B6" s="1">
        <v>45483</v>
      </c>
      <c r="C6" t="s">
        <v>7</v>
      </c>
      <c r="D6">
        <v>70.3</v>
      </c>
      <c r="E6">
        <v>0.08</v>
      </c>
      <c r="G6">
        <v>10</v>
      </c>
      <c r="H6" t="s">
        <v>104</v>
      </c>
    </row>
    <row r="7" spans="1:10" x14ac:dyDescent="0.2">
      <c r="A7">
        <v>215</v>
      </c>
      <c r="B7" s="1">
        <v>45553</v>
      </c>
      <c r="C7" t="s">
        <v>7</v>
      </c>
      <c r="D7">
        <v>63.6</v>
      </c>
      <c r="E7">
        <v>0.08</v>
      </c>
      <c r="G7">
        <v>10</v>
      </c>
      <c r="H7" t="s">
        <v>122</v>
      </c>
    </row>
    <row r="8" spans="1:10" x14ac:dyDescent="0.2">
      <c r="A8">
        <v>337</v>
      </c>
      <c r="B8" s="1">
        <v>45637</v>
      </c>
      <c r="C8" t="s">
        <v>7</v>
      </c>
      <c r="D8">
        <v>36.9</v>
      </c>
      <c r="E8">
        <v>0.08</v>
      </c>
      <c r="F8" t="s">
        <v>37</v>
      </c>
      <c r="G8">
        <v>10</v>
      </c>
    </row>
    <row r="9" spans="1:10" x14ac:dyDescent="0.2">
      <c r="A9">
        <v>474</v>
      </c>
      <c r="B9" s="1">
        <v>45777</v>
      </c>
      <c r="C9" t="s">
        <v>7</v>
      </c>
      <c r="D9">
        <v>56.2</v>
      </c>
      <c r="E9">
        <v>0.08</v>
      </c>
      <c r="H9" t="s">
        <v>241</v>
      </c>
    </row>
    <row r="10" spans="1:10" x14ac:dyDescent="0.2">
      <c r="A10">
        <v>377</v>
      </c>
      <c r="B10" s="1">
        <v>45679</v>
      </c>
      <c r="C10" t="s">
        <v>7</v>
      </c>
      <c r="D10">
        <v>74.7</v>
      </c>
      <c r="E10">
        <v>0.09</v>
      </c>
      <c r="G10">
        <v>9</v>
      </c>
    </row>
    <row r="11" spans="1:10" x14ac:dyDescent="0.2">
      <c r="A11">
        <v>482</v>
      </c>
      <c r="B11" s="1">
        <v>45791</v>
      </c>
      <c r="C11" t="s">
        <v>7</v>
      </c>
      <c r="D11">
        <v>58.9</v>
      </c>
      <c r="E11">
        <v>0.09</v>
      </c>
      <c r="G11">
        <v>10</v>
      </c>
    </row>
    <row r="12" spans="1:10" x14ac:dyDescent="0.2">
      <c r="A12">
        <v>83</v>
      </c>
      <c r="B12" s="1">
        <v>45070</v>
      </c>
      <c r="C12" t="s">
        <v>7</v>
      </c>
      <c r="D12">
        <v>80</v>
      </c>
      <c r="E12">
        <v>0.1</v>
      </c>
      <c r="G12">
        <v>15</v>
      </c>
    </row>
    <row r="13" spans="1:10" x14ac:dyDescent="0.2">
      <c r="A13">
        <v>133</v>
      </c>
      <c r="B13" s="1">
        <v>45315</v>
      </c>
      <c r="C13" t="s">
        <v>7</v>
      </c>
      <c r="D13">
        <v>66.5</v>
      </c>
      <c r="E13">
        <v>0.1</v>
      </c>
      <c r="F13" t="s">
        <v>58</v>
      </c>
      <c r="G13">
        <v>10</v>
      </c>
    </row>
    <row r="14" spans="1:10" x14ac:dyDescent="0.2">
      <c r="A14">
        <v>207</v>
      </c>
      <c r="B14" s="1">
        <v>45518</v>
      </c>
      <c r="C14" t="s">
        <v>7</v>
      </c>
      <c r="D14">
        <v>80.599999999999994</v>
      </c>
      <c r="E14">
        <v>0.1</v>
      </c>
      <c r="G14">
        <v>10</v>
      </c>
      <c r="H14" t="s">
        <v>117</v>
      </c>
    </row>
    <row r="15" spans="1:10" x14ac:dyDescent="0.2">
      <c r="A15">
        <v>310</v>
      </c>
      <c r="B15" s="1">
        <v>45623</v>
      </c>
      <c r="C15" t="s">
        <v>7</v>
      </c>
      <c r="D15">
        <v>48.4</v>
      </c>
      <c r="E15">
        <v>0.1</v>
      </c>
      <c r="G15">
        <v>10</v>
      </c>
      <c r="H15" t="s">
        <v>122</v>
      </c>
    </row>
    <row r="16" spans="1:10" x14ac:dyDescent="0.2">
      <c r="A16">
        <v>354</v>
      </c>
      <c r="B16" s="1">
        <v>45665</v>
      </c>
      <c r="C16" t="s">
        <v>7</v>
      </c>
      <c r="D16">
        <v>70.5</v>
      </c>
      <c r="E16">
        <v>0.1</v>
      </c>
    </row>
    <row r="17" spans="1:8" x14ac:dyDescent="0.2">
      <c r="A17">
        <v>380</v>
      </c>
      <c r="B17" s="1">
        <v>45679</v>
      </c>
      <c r="C17" t="s">
        <v>7</v>
      </c>
      <c r="D17">
        <v>64.099999999999994</v>
      </c>
      <c r="E17">
        <v>0.1</v>
      </c>
      <c r="G17">
        <v>10</v>
      </c>
      <c r="H17" t="s">
        <v>117</v>
      </c>
    </row>
    <row r="18" spans="1:8" x14ac:dyDescent="0.2">
      <c r="A18">
        <v>395</v>
      </c>
      <c r="B18" s="1">
        <v>45693</v>
      </c>
      <c r="C18" t="s">
        <v>7</v>
      </c>
      <c r="D18">
        <v>76.400000000000006</v>
      </c>
      <c r="E18">
        <v>0.1</v>
      </c>
      <c r="G18">
        <v>10</v>
      </c>
    </row>
    <row r="19" spans="1:8" x14ac:dyDescent="0.2">
      <c r="A19">
        <v>217</v>
      </c>
      <c r="B19" s="1">
        <v>45553</v>
      </c>
      <c r="C19" t="s">
        <v>7</v>
      </c>
      <c r="D19">
        <v>71.5</v>
      </c>
      <c r="E19">
        <v>0.11</v>
      </c>
      <c r="G19">
        <v>9</v>
      </c>
    </row>
    <row r="20" spans="1:8" x14ac:dyDescent="0.2">
      <c r="A20">
        <v>254</v>
      </c>
      <c r="B20" s="1">
        <v>45581</v>
      </c>
      <c r="C20" t="s">
        <v>7</v>
      </c>
      <c r="D20">
        <v>62.9</v>
      </c>
      <c r="E20">
        <v>0.11</v>
      </c>
      <c r="G20">
        <v>10</v>
      </c>
      <c r="H20" t="s">
        <v>159</v>
      </c>
    </row>
    <row r="21" spans="1:8" x14ac:dyDescent="0.2">
      <c r="A21">
        <v>306</v>
      </c>
      <c r="B21" s="1">
        <v>45623</v>
      </c>
      <c r="C21" t="s">
        <v>7</v>
      </c>
      <c r="D21">
        <v>89.8</v>
      </c>
      <c r="E21">
        <v>0.11</v>
      </c>
      <c r="G21">
        <v>10</v>
      </c>
    </row>
    <row r="22" spans="1:8" x14ac:dyDescent="0.2">
      <c r="A22">
        <v>434</v>
      </c>
      <c r="B22" s="1">
        <v>45749</v>
      </c>
      <c r="C22" t="s">
        <v>7</v>
      </c>
      <c r="D22">
        <v>71.7</v>
      </c>
      <c r="E22">
        <v>0.11</v>
      </c>
      <c r="G22">
        <v>10</v>
      </c>
    </row>
    <row r="23" spans="1:8" x14ac:dyDescent="0.2">
      <c r="A23">
        <v>55</v>
      </c>
      <c r="B23" s="1">
        <v>44979</v>
      </c>
      <c r="C23" t="s">
        <v>7</v>
      </c>
      <c r="D23">
        <v>62.9</v>
      </c>
      <c r="E23">
        <v>0.12</v>
      </c>
      <c r="G23">
        <v>13.3</v>
      </c>
      <c r="H23" t="s">
        <v>146</v>
      </c>
    </row>
    <row r="24" spans="1:8" x14ac:dyDescent="0.2">
      <c r="A24">
        <v>75</v>
      </c>
      <c r="B24" s="1">
        <v>45042</v>
      </c>
      <c r="C24" t="s">
        <v>7</v>
      </c>
      <c r="D24">
        <v>78.900000000000006</v>
      </c>
      <c r="E24">
        <v>0.12</v>
      </c>
      <c r="G24">
        <v>10</v>
      </c>
    </row>
    <row r="25" spans="1:8" x14ac:dyDescent="0.2">
      <c r="A25">
        <v>98</v>
      </c>
      <c r="B25" s="1">
        <v>45112</v>
      </c>
      <c r="C25" t="s">
        <v>7</v>
      </c>
      <c r="D25">
        <v>71.8</v>
      </c>
      <c r="E25">
        <v>0.12</v>
      </c>
      <c r="F25" t="s">
        <v>37</v>
      </c>
      <c r="G25">
        <v>10</v>
      </c>
    </row>
    <row r="26" spans="1:8" x14ac:dyDescent="0.2">
      <c r="A26">
        <v>128</v>
      </c>
      <c r="B26" s="1">
        <v>45245</v>
      </c>
      <c r="C26" t="s">
        <v>7</v>
      </c>
      <c r="D26">
        <v>63.4</v>
      </c>
      <c r="E26">
        <v>0.12</v>
      </c>
      <c r="F26" t="s">
        <v>37</v>
      </c>
      <c r="G26">
        <v>8</v>
      </c>
    </row>
    <row r="27" spans="1:8" x14ac:dyDescent="0.2">
      <c r="A27">
        <v>297</v>
      </c>
      <c r="B27" s="1">
        <v>45609</v>
      </c>
      <c r="C27" t="s">
        <v>7</v>
      </c>
      <c r="D27">
        <v>50.5</v>
      </c>
      <c r="E27">
        <v>0.12</v>
      </c>
      <c r="F27" t="s">
        <v>37</v>
      </c>
      <c r="G27">
        <v>10</v>
      </c>
    </row>
    <row r="28" spans="1:8" x14ac:dyDescent="0.2">
      <c r="A28">
        <v>331</v>
      </c>
      <c r="B28" s="1">
        <v>45637</v>
      </c>
      <c r="C28" t="s">
        <v>7</v>
      </c>
      <c r="D28">
        <v>55.9</v>
      </c>
      <c r="E28">
        <v>0.12</v>
      </c>
      <c r="G28">
        <v>10</v>
      </c>
    </row>
    <row r="29" spans="1:8" x14ac:dyDescent="0.2">
      <c r="A29">
        <v>336</v>
      </c>
      <c r="B29" s="1">
        <v>45637</v>
      </c>
      <c r="C29" t="s">
        <v>7</v>
      </c>
      <c r="D29">
        <v>55.7</v>
      </c>
      <c r="E29">
        <v>0.12</v>
      </c>
      <c r="G29">
        <v>10</v>
      </c>
    </row>
    <row r="30" spans="1:8" x14ac:dyDescent="0.2">
      <c r="A30">
        <v>492</v>
      </c>
      <c r="B30" s="1">
        <v>45805</v>
      </c>
      <c r="C30" t="s">
        <v>7</v>
      </c>
      <c r="D30">
        <v>31.2</v>
      </c>
      <c r="E30">
        <v>0.12</v>
      </c>
      <c r="F30" t="s">
        <v>37</v>
      </c>
    </row>
    <row r="31" spans="1:8" x14ac:dyDescent="0.2">
      <c r="A31">
        <v>65</v>
      </c>
      <c r="B31" s="1">
        <v>45014</v>
      </c>
      <c r="C31" t="s">
        <v>7</v>
      </c>
      <c r="D31">
        <v>80.3</v>
      </c>
      <c r="E31">
        <v>0.13</v>
      </c>
      <c r="F31" t="s">
        <v>37</v>
      </c>
      <c r="G31">
        <v>15</v>
      </c>
    </row>
    <row r="32" spans="1:8" x14ac:dyDescent="0.2">
      <c r="A32">
        <v>85</v>
      </c>
      <c r="B32" s="1">
        <v>45070</v>
      </c>
      <c r="C32" t="s">
        <v>7</v>
      </c>
      <c r="D32">
        <v>91.3</v>
      </c>
      <c r="E32">
        <v>0.13</v>
      </c>
      <c r="H32" t="s">
        <v>49</v>
      </c>
    </row>
    <row r="33" spans="1:7" x14ac:dyDescent="0.2">
      <c r="A33">
        <v>131</v>
      </c>
      <c r="B33" s="1">
        <v>45245</v>
      </c>
      <c r="C33" t="s">
        <v>7</v>
      </c>
      <c r="D33">
        <v>64.400000000000006</v>
      </c>
      <c r="E33">
        <v>0.13</v>
      </c>
      <c r="F33" t="s">
        <v>37</v>
      </c>
      <c r="G33">
        <v>10</v>
      </c>
    </row>
    <row r="34" spans="1:7" x14ac:dyDescent="0.2">
      <c r="A34">
        <v>134</v>
      </c>
      <c r="B34" s="1">
        <v>45315</v>
      </c>
      <c r="C34" t="s">
        <v>7</v>
      </c>
      <c r="D34">
        <v>78.3</v>
      </c>
      <c r="E34">
        <v>0.13</v>
      </c>
      <c r="G34">
        <v>10</v>
      </c>
    </row>
    <row r="35" spans="1:7" x14ac:dyDescent="0.2">
      <c r="A35">
        <v>182</v>
      </c>
      <c r="B35" s="1">
        <v>45483</v>
      </c>
      <c r="C35" t="s">
        <v>7</v>
      </c>
      <c r="D35">
        <v>56.5</v>
      </c>
      <c r="E35">
        <v>0.13</v>
      </c>
      <c r="F35" t="s">
        <v>57</v>
      </c>
      <c r="G35">
        <v>10</v>
      </c>
    </row>
    <row r="36" spans="1:7" x14ac:dyDescent="0.2">
      <c r="A36">
        <v>213</v>
      </c>
      <c r="B36" s="1">
        <v>45553</v>
      </c>
      <c r="C36" t="s">
        <v>7</v>
      </c>
      <c r="D36">
        <v>42.9</v>
      </c>
      <c r="E36">
        <v>0.13</v>
      </c>
      <c r="F36" t="s">
        <v>37</v>
      </c>
      <c r="G36">
        <v>8</v>
      </c>
    </row>
    <row r="37" spans="1:7" x14ac:dyDescent="0.2">
      <c r="A37">
        <v>219</v>
      </c>
      <c r="B37" s="1">
        <v>45553</v>
      </c>
      <c r="C37" t="s">
        <v>7</v>
      </c>
      <c r="D37">
        <v>71.5</v>
      </c>
      <c r="E37">
        <v>0.13</v>
      </c>
      <c r="G37">
        <v>10</v>
      </c>
    </row>
    <row r="38" spans="1:7" x14ac:dyDescent="0.2">
      <c r="A38">
        <v>330</v>
      </c>
      <c r="B38" s="1">
        <v>45637</v>
      </c>
      <c r="C38" t="s">
        <v>7</v>
      </c>
      <c r="D38">
        <v>67.599999999999994</v>
      </c>
      <c r="E38">
        <v>0.13</v>
      </c>
      <c r="F38" t="s">
        <v>37</v>
      </c>
      <c r="G38">
        <v>10</v>
      </c>
    </row>
    <row r="39" spans="1:7" x14ac:dyDescent="0.2">
      <c r="A39">
        <v>370</v>
      </c>
      <c r="B39" s="1">
        <v>45665</v>
      </c>
      <c r="C39" t="s">
        <v>7</v>
      </c>
      <c r="D39">
        <v>66.900000000000006</v>
      </c>
      <c r="E39">
        <v>0.13</v>
      </c>
      <c r="G39">
        <v>10</v>
      </c>
    </row>
    <row r="40" spans="1:7" x14ac:dyDescent="0.2">
      <c r="A40">
        <v>403</v>
      </c>
      <c r="B40" s="1">
        <v>45721</v>
      </c>
      <c r="C40" t="s">
        <v>7</v>
      </c>
      <c r="D40">
        <v>80.2</v>
      </c>
      <c r="E40">
        <v>0.13</v>
      </c>
      <c r="G40">
        <v>10</v>
      </c>
    </row>
    <row r="41" spans="1:7" x14ac:dyDescent="0.2">
      <c r="A41">
        <v>412</v>
      </c>
      <c r="B41" s="1">
        <v>45721</v>
      </c>
      <c r="C41" t="s">
        <v>7</v>
      </c>
      <c r="D41">
        <v>78.3</v>
      </c>
      <c r="E41">
        <v>0.13</v>
      </c>
      <c r="G41">
        <v>10</v>
      </c>
    </row>
    <row r="42" spans="1:7" x14ac:dyDescent="0.2">
      <c r="A42">
        <v>418</v>
      </c>
      <c r="B42" s="1">
        <v>45735</v>
      </c>
      <c r="C42" t="s">
        <v>7</v>
      </c>
      <c r="D42">
        <v>52.5</v>
      </c>
      <c r="E42">
        <v>0.13</v>
      </c>
      <c r="F42" t="s">
        <v>37</v>
      </c>
      <c r="G42">
        <v>10</v>
      </c>
    </row>
    <row r="43" spans="1:7" x14ac:dyDescent="0.2">
      <c r="A43">
        <v>459</v>
      </c>
      <c r="B43" s="1">
        <v>45763</v>
      </c>
      <c r="C43" t="s">
        <v>7</v>
      </c>
      <c r="D43">
        <v>53.4</v>
      </c>
      <c r="E43">
        <v>0.13</v>
      </c>
      <c r="G43">
        <v>10</v>
      </c>
    </row>
    <row r="44" spans="1:7" x14ac:dyDescent="0.2">
      <c r="A44">
        <v>489</v>
      </c>
      <c r="B44" s="1">
        <v>45805</v>
      </c>
      <c r="C44" t="s">
        <v>7</v>
      </c>
      <c r="D44">
        <v>66</v>
      </c>
      <c r="E44">
        <v>0.13</v>
      </c>
      <c r="G44">
        <v>10</v>
      </c>
    </row>
    <row r="45" spans="1:7" x14ac:dyDescent="0.2">
      <c r="A45">
        <v>496</v>
      </c>
      <c r="B45" s="1">
        <v>45805</v>
      </c>
      <c r="C45" t="s">
        <v>7</v>
      </c>
      <c r="D45">
        <v>88.4</v>
      </c>
      <c r="E45">
        <v>0.13</v>
      </c>
      <c r="G45">
        <v>10</v>
      </c>
    </row>
    <row r="46" spans="1:7" x14ac:dyDescent="0.2">
      <c r="A46">
        <v>73</v>
      </c>
      <c r="B46" s="1">
        <v>45042</v>
      </c>
      <c r="C46" t="s">
        <v>7</v>
      </c>
      <c r="D46">
        <v>79.2</v>
      </c>
      <c r="E46">
        <v>0.14000000000000001</v>
      </c>
      <c r="F46" t="s">
        <v>37</v>
      </c>
      <c r="G46">
        <v>10</v>
      </c>
    </row>
    <row r="47" spans="1:7" x14ac:dyDescent="0.2">
      <c r="A47">
        <v>135</v>
      </c>
      <c r="B47" s="1">
        <v>45315</v>
      </c>
      <c r="C47" t="s">
        <v>7</v>
      </c>
      <c r="D47">
        <v>79.599999999999994</v>
      </c>
      <c r="E47">
        <v>0.14000000000000001</v>
      </c>
      <c r="G47">
        <v>10</v>
      </c>
    </row>
    <row r="48" spans="1:7" x14ac:dyDescent="0.2">
      <c r="A48">
        <v>139</v>
      </c>
      <c r="B48" s="1">
        <v>45315</v>
      </c>
      <c r="C48" t="s">
        <v>7</v>
      </c>
      <c r="D48">
        <v>77.099999999999994</v>
      </c>
      <c r="E48">
        <v>0.14000000000000001</v>
      </c>
      <c r="G48">
        <v>10</v>
      </c>
    </row>
    <row r="49" spans="1:8" x14ac:dyDescent="0.2">
      <c r="A49">
        <v>148</v>
      </c>
      <c r="B49" s="1">
        <v>45352</v>
      </c>
      <c r="C49" t="s">
        <v>7</v>
      </c>
      <c r="D49">
        <v>61.8</v>
      </c>
      <c r="E49">
        <v>0.14000000000000001</v>
      </c>
      <c r="F49" t="s">
        <v>18</v>
      </c>
      <c r="G49">
        <v>10</v>
      </c>
    </row>
    <row r="50" spans="1:8" x14ac:dyDescent="0.2">
      <c r="A50">
        <v>174</v>
      </c>
      <c r="B50" s="1">
        <v>45462</v>
      </c>
      <c r="C50" t="s">
        <v>7</v>
      </c>
      <c r="D50">
        <v>44</v>
      </c>
      <c r="E50">
        <v>0.14000000000000001</v>
      </c>
      <c r="F50" t="s">
        <v>18</v>
      </c>
      <c r="G50">
        <v>10</v>
      </c>
      <c r="H50" t="s">
        <v>100</v>
      </c>
    </row>
    <row r="51" spans="1:8" x14ac:dyDescent="0.2">
      <c r="A51">
        <v>187</v>
      </c>
      <c r="B51" s="1">
        <v>45483</v>
      </c>
      <c r="C51" t="s">
        <v>7</v>
      </c>
      <c r="D51">
        <v>72</v>
      </c>
      <c r="E51">
        <v>0.14000000000000001</v>
      </c>
      <c r="G51">
        <v>10</v>
      </c>
    </row>
    <row r="52" spans="1:8" x14ac:dyDescent="0.2">
      <c r="A52">
        <v>188</v>
      </c>
      <c r="B52" s="1">
        <v>45483</v>
      </c>
      <c r="C52" t="s">
        <v>7</v>
      </c>
      <c r="D52">
        <v>75.5</v>
      </c>
      <c r="E52">
        <v>0.14000000000000001</v>
      </c>
      <c r="G52">
        <v>10</v>
      </c>
    </row>
    <row r="53" spans="1:8" x14ac:dyDescent="0.2">
      <c r="A53">
        <v>201</v>
      </c>
      <c r="B53" s="1">
        <v>45518</v>
      </c>
      <c r="C53" t="s">
        <v>7</v>
      </c>
      <c r="D53">
        <v>46.3</v>
      </c>
      <c r="E53">
        <v>0.14000000000000001</v>
      </c>
      <c r="G53">
        <v>10</v>
      </c>
    </row>
    <row r="54" spans="1:8" x14ac:dyDescent="0.2">
      <c r="A54">
        <v>223</v>
      </c>
      <c r="B54" s="1">
        <v>45553</v>
      </c>
      <c r="C54" t="s">
        <v>7</v>
      </c>
      <c r="D54">
        <v>66.3</v>
      </c>
      <c r="E54">
        <v>0.14000000000000001</v>
      </c>
      <c r="F54" t="s">
        <v>37</v>
      </c>
      <c r="G54">
        <v>10</v>
      </c>
    </row>
    <row r="55" spans="1:8" x14ac:dyDescent="0.2">
      <c r="A55">
        <v>225</v>
      </c>
      <c r="B55" s="1">
        <v>45553</v>
      </c>
      <c r="C55" t="s">
        <v>7</v>
      </c>
      <c r="D55">
        <v>60.8</v>
      </c>
      <c r="E55">
        <v>0.14000000000000001</v>
      </c>
      <c r="G55">
        <v>10</v>
      </c>
    </row>
    <row r="56" spans="1:8" x14ac:dyDescent="0.2">
      <c r="A56">
        <v>240</v>
      </c>
      <c r="B56" s="1">
        <v>45567</v>
      </c>
      <c r="C56" t="s">
        <v>7</v>
      </c>
      <c r="D56">
        <v>80.099999999999994</v>
      </c>
      <c r="E56">
        <v>0.14000000000000001</v>
      </c>
      <c r="G56">
        <v>7.5</v>
      </c>
      <c r="H56" t="s">
        <v>150</v>
      </c>
    </row>
    <row r="57" spans="1:8" x14ac:dyDescent="0.2">
      <c r="A57">
        <v>265</v>
      </c>
      <c r="B57" s="1">
        <v>45595</v>
      </c>
      <c r="C57" t="s">
        <v>7</v>
      </c>
      <c r="D57">
        <v>72.5</v>
      </c>
      <c r="E57">
        <v>0.14000000000000001</v>
      </c>
      <c r="F57" t="s">
        <v>37</v>
      </c>
      <c r="G57">
        <v>10</v>
      </c>
    </row>
    <row r="58" spans="1:8" x14ac:dyDescent="0.2">
      <c r="A58">
        <v>284</v>
      </c>
      <c r="B58" s="1">
        <v>45609</v>
      </c>
      <c r="C58" t="s">
        <v>7</v>
      </c>
      <c r="D58">
        <v>58.4</v>
      </c>
      <c r="E58">
        <v>0.14000000000000001</v>
      </c>
      <c r="G58">
        <v>10</v>
      </c>
    </row>
    <row r="59" spans="1:8" x14ac:dyDescent="0.2">
      <c r="A59">
        <v>286</v>
      </c>
      <c r="B59" s="1">
        <v>45609</v>
      </c>
      <c r="C59" t="s">
        <v>7</v>
      </c>
      <c r="D59">
        <v>67.8</v>
      </c>
      <c r="E59">
        <v>0.14000000000000001</v>
      </c>
      <c r="G59">
        <v>10</v>
      </c>
    </row>
    <row r="60" spans="1:8" x14ac:dyDescent="0.2">
      <c r="A60">
        <v>290</v>
      </c>
      <c r="B60" s="1">
        <v>45609</v>
      </c>
      <c r="C60" t="s">
        <v>7</v>
      </c>
      <c r="D60">
        <v>60.6</v>
      </c>
      <c r="E60">
        <v>0.14000000000000001</v>
      </c>
      <c r="G60">
        <v>10</v>
      </c>
    </row>
    <row r="61" spans="1:8" x14ac:dyDescent="0.2">
      <c r="A61">
        <v>315</v>
      </c>
      <c r="B61" s="1">
        <v>45623</v>
      </c>
      <c r="C61" t="s">
        <v>7</v>
      </c>
      <c r="D61">
        <v>26.3</v>
      </c>
      <c r="E61">
        <v>0.14000000000000001</v>
      </c>
      <c r="F61" t="s">
        <v>37</v>
      </c>
      <c r="G61">
        <v>9</v>
      </c>
    </row>
    <row r="62" spans="1:8" x14ac:dyDescent="0.2">
      <c r="A62">
        <v>334</v>
      </c>
      <c r="B62" s="1">
        <v>45637</v>
      </c>
      <c r="C62" t="s">
        <v>7</v>
      </c>
      <c r="D62">
        <v>74.3</v>
      </c>
      <c r="E62">
        <v>0.14000000000000001</v>
      </c>
      <c r="G62">
        <v>10</v>
      </c>
    </row>
    <row r="63" spans="1:8" x14ac:dyDescent="0.2">
      <c r="A63">
        <v>396</v>
      </c>
      <c r="B63" s="1">
        <v>45693</v>
      </c>
      <c r="C63" t="s">
        <v>7</v>
      </c>
      <c r="D63">
        <v>69.8</v>
      </c>
      <c r="E63">
        <v>0.14000000000000001</v>
      </c>
      <c r="G63">
        <v>10</v>
      </c>
    </row>
    <row r="64" spans="1:8" x14ac:dyDescent="0.2">
      <c r="A64">
        <v>405</v>
      </c>
      <c r="B64" s="1">
        <v>45721</v>
      </c>
      <c r="C64" t="s">
        <v>7</v>
      </c>
      <c r="D64">
        <v>61.1</v>
      </c>
      <c r="E64">
        <v>0.14000000000000001</v>
      </c>
      <c r="G64">
        <v>10</v>
      </c>
    </row>
    <row r="65" spans="1:8" x14ac:dyDescent="0.2">
      <c r="A65">
        <v>406</v>
      </c>
      <c r="B65" s="1">
        <v>45721</v>
      </c>
      <c r="C65" t="s">
        <v>7</v>
      </c>
      <c r="D65">
        <v>73</v>
      </c>
      <c r="E65">
        <v>0.14000000000000001</v>
      </c>
      <c r="G65">
        <v>10</v>
      </c>
      <c r="H65" t="s">
        <v>307</v>
      </c>
    </row>
    <row r="66" spans="1:8" x14ac:dyDescent="0.2">
      <c r="A66">
        <v>430</v>
      </c>
      <c r="B66" s="1">
        <v>45735</v>
      </c>
      <c r="C66" t="s">
        <v>7</v>
      </c>
      <c r="D66">
        <v>46</v>
      </c>
      <c r="E66">
        <v>0.14000000000000001</v>
      </c>
      <c r="F66" t="s">
        <v>37</v>
      </c>
      <c r="H66" t="s">
        <v>321</v>
      </c>
    </row>
    <row r="67" spans="1:8" x14ac:dyDescent="0.2">
      <c r="A67">
        <v>446</v>
      </c>
      <c r="B67" s="1">
        <v>45763</v>
      </c>
      <c r="C67" t="s">
        <v>7</v>
      </c>
      <c r="D67">
        <v>53.5</v>
      </c>
      <c r="E67">
        <v>0.14000000000000001</v>
      </c>
      <c r="G67">
        <v>10</v>
      </c>
    </row>
    <row r="68" spans="1:8" x14ac:dyDescent="0.2">
      <c r="A68">
        <v>478</v>
      </c>
      <c r="B68" s="1">
        <v>45791</v>
      </c>
      <c r="C68" t="s">
        <v>7</v>
      </c>
      <c r="D68">
        <v>76.599999999999994</v>
      </c>
      <c r="E68">
        <v>0.14000000000000001</v>
      </c>
      <c r="G68">
        <v>10</v>
      </c>
    </row>
    <row r="69" spans="1:8" x14ac:dyDescent="0.2">
      <c r="A69">
        <v>481</v>
      </c>
      <c r="B69" s="1">
        <v>45791</v>
      </c>
      <c r="C69" t="s">
        <v>7</v>
      </c>
      <c r="D69">
        <v>58.7</v>
      </c>
      <c r="E69">
        <v>0.14000000000000001</v>
      </c>
      <c r="G69">
        <v>10</v>
      </c>
    </row>
    <row r="70" spans="1:8" x14ac:dyDescent="0.2">
      <c r="A70">
        <v>40</v>
      </c>
      <c r="B70" s="1">
        <v>44953</v>
      </c>
      <c r="C70" t="s">
        <v>7</v>
      </c>
      <c r="D70">
        <v>39.799999999999997</v>
      </c>
      <c r="E70">
        <v>0.15</v>
      </c>
      <c r="F70" t="s">
        <v>18</v>
      </c>
      <c r="G70">
        <v>10</v>
      </c>
    </row>
    <row r="71" spans="1:8" x14ac:dyDescent="0.2">
      <c r="A71">
        <v>86</v>
      </c>
      <c r="B71" s="1">
        <v>45070</v>
      </c>
      <c r="C71" t="s">
        <v>7</v>
      </c>
      <c r="D71">
        <v>91.9</v>
      </c>
      <c r="E71">
        <v>0.15</v>
      </c>
      <c r="G71">
        <v>12</v>
      </c>
    </row>
    <row r="72" spans="1:8" x14ac:dyDescent="0.2">
      <c r="A72">
        <v>137</v>
      </c>
      <c r="B72" s="1">
        <v>45315</v>
      </c>
      <c r="C72" t="s">
        <v>7</v>
      </c>
      <c r="D72">
        <v>65.2</v>
      </c>
      <c r="E72">
        <v>0.15</v>
      </c>
      <c r="F72" t="s">
        <v>57</v>
      </c>
      <c r="G72">
        <v>10</v>
      </c>
    </row>
    <row r="73" spans="1:8" x14ac:dyDescent="0.2">
      <c r="A73">
        <v>142</v>
      </c>
      <c r="B73" s="1">
        <v>45315</v>
      </c>
      <c r="C73" t="s">
        <v>7</v>
      </c>
      <c r="D73">
        <v>74.099999999999994</v>
      </c>
      <c r="E73">
        <v>0.15</v>
      </c>
      <c r="G73">
        <v>10</v>
      </c>
    </row>
    <row r="74" spans="1:8" x14ac:dyDescent="0.2">
      <c r="A74">
        <v>150</v>
      </c>
      <c r="B74" s="1">
        <v>45352</v>
      </c>
      <c r="C74" t="s">
        <v>7</v>
      </c>
      <c r="D74">
        <v>70.400000000000006</v>
      </c>
      <c r="E74">
        <v>0.15</v>
      </c>
      <c r="F74" t="s">
        <v>37</v>
      </c>
      <c r="G74">
        <v>10</v>
      </c>
    </row>
    <row r="75" spans="1:8" x14ac:dyDescent="0.2">
      <c r="A75">
        <v>162</v>
      </c>
      <c r="B75" s="1">
        <v>45392</v>
      </c>
      <c r="C75" t="s">
        <v>7</v>
      </c>
      <c r="D75">
        <v>74.5</v>
      </c>
      <c r="E75">
        <v>0.15</v>
      </c>
      <c r="F75" t="s">
        <v>37</v>
      </c>
      <c r="G75">
        <v>10</v>
      </c>
    </row>
    <row r="76" spans="1:8" x14ac:dyDescent="0.2">
      <c r="A76">
        <v>164</v>
      </c>
      <c r="B76" s="1">
        <v>45392</v>
      </c>
      <c r="C76" t="s">
        <v>7</v>
      </c>
      <c r="D76">
        <v>75.3</v>
      </c>
      <c r="E76">
        <v>0.15</v>
      </c>
      <c r="G76">
        <v>8</v>
      </c>
    </row>
    <row r="77" spans="1:8" x14ac:dyDescent="0.2">
      <c r="A77">
        <v>214</v>
      </c>
      <c r="B77" s="1">
        <v>45553</v>
      </c>
      <c r="C77" t="s">
        <v>7</v>
      </c>
      <c r="D77">
        <v>60.7</v>
      </c>
      <c r="E77">
        <v>0.15</v>
      </c>
      <c r="F77" t="s">
        <v>37</v>
      </c>
      <c r="G77">
        <v>10</v>
      </c>
    </row>
    <row r="78" spans="1:8" x14ac:dyDescent="0.2">
      <c r="A78">
        <v>227</v>
      </c>
      <c r="B78" s="1">
        <v>45553</v>
      </c>
      <c r="C78" t="s">
        <v>7</v>
      </c>
      <c r="D78">
        <v>64.900000000000006</v>
      </c>
      <c r="E78">
        <v>0.15</v>
      </c>
      <c r="F78" t="s">
        <v>37</v>
      </c>
      <c r="G78">
        <v>15</v>
      </c>
    </row>
    <row r="79" spans="1:8" x14ac:dyDescent="0.2">
      <c r="A79">
        <v>231</v>
      </c>
      <c r="B79" s="1">
        <v>45567</v>
      </c>
      <c r="C79" t="s">
        <v>7</v>
      </c>
      <c r="D79">
        <v>81.400000000000006</v>
      </c>
      <c r="E79">
        <v>0.15</v>
      </c>
      <c r="G79">
        <v>10</v>
      </c>
    </row>
    <row r="80" spans="1:8" x14ac:dyDescent="0.2">
      <c r="A80">
        <v>246</v>
      </c>
      <c r="B80" s="1">
        <v>45567</v>
      </c>
      <c r="C80" t="s">
        <v>7</v>
      </c>
      <c r="D80">
        <v>93.3</v>
      </c>
      <c r="E80">
        <v>0.15</v>
      </c>
      <c r="G80">
        <v>10</v>
      </c>
    </row>
    <row r="81" spans="1:8" x14ac:dyDescent="0.2">
      <c r="A81">
        <v>252</v>
      </c>
      <c r="B81" s="1">
        <v>45581</v>
      </c>
      <c r="C81" t="s">
        <v>7</v>
      </c>
      <c r="D81">
        <v>63.5</v>
      </c>
      <c r="E81">
        <v>0.15</v>
      </c>
      <c r="G81">
        <v>10</v>
      </c>
    </row>
    <row r="82" spans="1:8" x14ac:dyDescent="0.2">
      <c r="A82">
        <v>255</v>
      </c>
      <c r="B82" s="1">
        <v>45581</v>
      </c>
      <c r="C82" t="s">
        <v>7</v>
      </c>
      <c r="D82">
        <v>55.1</v>
      </c>
      <c r="E82">
        <v>0.15</v>
      </c>
      <c r="G82">
        <v>8.3000000000000007</v>
      </c>
      <c r="H82" t="s">
        <v>160</v>
      </c>
    </row>
    <row r="83" spans="1:8" x14ac:dyDescent="0.2">
      <c r="A83">
        <v>260</v>
      </c>
      <c r="B83" s="1">
        <v>45581</v>
      </c>
      <c r="C83" t="s">
        <v>7</v>
      </c>
      <c r="D83">
        <v>67</v>
      </c>
      <c r="E83">
        <v>0.15</v>
      </c>
      <c r="F83" t="s">
        <v>37</v>
      </c>
      <c r="G83">
        <v>10</v>
      </c>
    </row>
    <row r="84" spans="1:8" x14ac:dyDescent="0.2">
      <c r="A84">
        <v>270</v>
      </c>
      <c r="B84" s="1">
        <v>45595</v>
      </c>
      <c r="C84" t="s">
        <v>7</v>
      </c>
      <c r="D84">
        <v>76.900000000000006</v>
      </c>
      <c r="E84">
        <v>0.15</v>
      </c>
      <c r="G84">
        <v>10</v>
      </c>
    </row>
    <row r="85" spans="1:8" x14ac:dyDescent="0.2">
      <c r="A85">
        <v>308</v>
      </c>
      <c r="B85" s="1">
        <v>45623</v>
      </c>
      <c r="C85" t="s">
        <v>7</v>
      </c>
      <c r="D85">
        <v>65.5</v>
      </c>
      <c r="E85">
        <v>0.15</v>
      </c>
      <c r="G85">
        <v>10</v>
      </c>
    </row>
    <row r="86" spans="1:8" x14ac:dyDescent="0.2">
      <c r="A86">
        <v>381</v>
      </c>
      <c r="B86" s="1">
        <v>45679</v>
      </c>
      <c r="C86" t="s">
        <v>7</v>
      </c>
      <c r="D86">
        <v>82.2</v>
      </c>
      <c r="E86">
        <v>0.15</v>
      </c>
      <c r="G86">
        <v>10</v>
      </c>
      <c r="H86" t="s">
        <v>263</v>
      </c>
    </row>
    <row r="87" spans="1:8" x14ac:dyDescent="0.2">
      <c r="A87">
        <v>420</v>
      </c>
      <c r="B87" s="1">
        <v>45735</v>
      </c>
      <c r="C87" t="s">
        <v>7</v>
      </c>
      <c r="D87">
        <v>63.5</v>
      </c>
      <c r="E87">
        <v>0.15</v>
      </c>
      <c r="G87">
        <v>10</v>
      </c>
    </row>
    <row r="88" spans="1:8" x14ac:dyDescent="0.2">
      <c r="A88">
        <v>455</v>
      </c>
      <c r="B88" s="1">
        <v>45763</v>
      </c>
      <c r="C88" t="s">
        <v>7</v>
      </c>
      <c r="D88">
        <v>75.7</v>
      </c>
      <c r="E88">
        <v>0.15</v>
      </c>
      <c r="H88" t="s">
        <v>241</v>
      </c>
    </row>
    <row r="89" spans="1:8" x14ac:dyDescent="0.2">
      <c r="A89">
        <v>29</v>
      </c>
      <c r="B89" s="1">
        <v>44937</v>
      </c>
      <c r="C89" t="s">
        <v>7</v>
      </c>
      <c r="D89">
        <v>57.1</v>
      </c>
      <c r="E89">
        <v>0.16</v>
      </c>
      <c r="F89" t="s">
        <v>18</v>
      </c>
    </row>
    <row r="90" spans="1:8" x14ac:dyDescent="0.2">
      <c r="A90">
        <v>50</v>
      </c>
      <c r="B90" s="1">
        <v>44958</v>
      </c>
      <c r="C90" t="s">
        <v>7</v>
      </c>
      <c r="D90">
        <v>45.7</v>
      </c>
      <c r="E90">
        <v>0.16</v>
      </c>
      <c r="F90" t="s">
        <v>18</v>
      </c>
      <c r="G90">
        <v>16.600000000000001</v>
      </c>
      <c r="H90" t="s">
        <v>145</v>
      </c>
    </row>
    <row r="91" spans="1:8" x14ac:dyDescent="0.2">
      <c r="A91">
        <v>56</v>
      </c>
      <c r="B91" s="1">
        <v>44979</v>
      </c>
      <c r="C91" t="s">
        <v>7</v>
      </c>
      <c r="D91">
        <v>71.8</v>
      </c>
      <c r="E91">
        <v>0.16</v>
      </c>
      <c r="F91" t="s">
        <v>37</v>
      </c>
      <c r="G91">
        <v>15</v>
      </c>
    </row>
    <row r="92" spans="1:8" x14ac:dyDescent="0.2">
      <c r="A92">
        <v>67</v>
      </c>
      <c r="B92" s="1">
        <v>45014</v>
      </c>
      <c r="C92" t="s">
        <v>7</v>
      </c>
      <c r="D92">
        <v>73.5</v>
      </c>
      <c r="E92">
        <v>0.16</v>
      </c>
      <c r="F92" t="s">
        <v>18</v>
      </c>
      <c r="G92">
        <v>12.5</v>
      </c>
    </row>
    <row r="93" spans="1:8" x14ac:dyDescent="0.2">
      <c r="A93">
        <v>79</v>
      </c>
      <c r="B93" s="1">
        <v>45042</v>
      </c>
      <c r="C93" t="s">
        <v>7</v>
      </c>
      <c r="D93">
        <v>79.8</v>
      </c>
      <c r="E93">
        <v>0.16</v>
      </c>
      <c r="G93">
        <v>15</v>
      </c>
    </row>
    <row r="94" spans="1:8" x14ac:dyDescent="0.2">
      <c r="A94">
        <v>81</v>
      </c>
      <c r="B94" s="1">
        <v>45042</v>
      </c>
      <c r="C94" t="s">
        <v>7</v>
      </c>
      <c r="D94">
        <v>73.3</v>
      </c>
      <c r="E94">
        <v>0.16</v>
      </c>
      <c r="F94" t="s">
        <v>18</v>
      </c>
    </row>
    <row r="95" spans="1:8" x14ac:dyDescent="0.2">
      <c r="A95">
        <v>92</v>
      </c>
      <c r="B95" s="1">
        <v>45070</v>
      </c>
      <c r="C95" t="s">
        <v>7</v>
      </c>
      <c r="D95">
        <v>86.1</v>
      </c>
      <c r="E95">
        <v>0.16</v>
      </c>
      <c r="G95">
        <v>10</v>
      </c>
    </row>
    <row r="96" spans="1:8" x14ac:dyDescent="0.2">
      <c r="A96">
        <v>154</v>
      </c>
      <c r="B96" s="1">
        <v>45352</v>
      </c>
      <c r="C96" t="s">
        <v>7</v>
      </c>
      <c r="D96">
        <v>73.3</v>
      </c>
      <c r="E96">
        <v>0.16</v>
      </c>
      <c r="G96">
        <v>10</v>
      </c>
    </row>
    <row r="97" spans="1:8" x14ac:dyDescent="0.2">
      <c r="A97">
        <v>176</v>
      </c>
      <c r="B97" s="1">
        <v>45483</v>
      </c>
      <c r="C97" t="s">
        <v>7</v>
      </c>
      <c r="D97">
        <v>76.099999999999994</v>
      </c>
      <c r="E97">
        <v>0.16</v>
      </c>
      <c r="G97">
        <v>10</v>
      </c>
    </row>
    <row r="98" spans="1:8" x14ac:dyDescent="0.2">
      <c r="A98">
        <v>195</v>
      </c>
      <c r="B98" s="1">
        <v>45518</v>
      </c>
      <c r="C98" t="s">
        <v>7</v>
      </c>
      <c r="D98">
        <v>37.5</v>
      </c>
      <c r="E98">
        <v>0.16</v>
      </c>
      <c r="G98">
        <v>10</v>
      </c>
      <c r="H98" t="s">
        <v>113</v>
      </c>
    </row>
    <row r="99" spans="1:8" x14ac:dyDescent="0.2">
      <c r="A99">
        <v>196</v>
      </c>
      <c r="B99" s="1">
        <v>45518</v>
      </c>
      <c r="C99" t="s">
        <v>7</v>
      </c>
      <c r="D99">
        <v>70.2</v>
      </c>
      <c r="E99">
        <v>0.16</v>
      </c>
      <c r="G99">
        <v>8</v>
      </c>
    </row>
    <row r="100" spans="1:8" x14ac:dyDescent="0.2">
      <c r="A100">
        <v>235</v>
      </c>
      <c r="B100" s="1">
        <v>45567</v>
      </c>
      <c r="C100" t="s">
        <v>7</v>
      </c>
      <c r="D100">
        <v>80</v>
      </c>
      <c r="E100">
        <v>0.16</v>
      </c>
      <c r="G100">
        <v>10</v>
      </c>
    </row>
    <row r="101" spans="1:8" x14ac:dyDescent="0.2">
      <c r="A101">
        <v>242</v>
      </c>
      <c r="B101" s="1">
        <v>45567</v>
      </c>
      <c r="C101" t="s">
        <v>7</v>
      </c>
      <c r="D101">
        <v>83</v>
      </c>
      <c r="E101">
        <v>0.16</v>
      </c>
      <c r="G101">
        <v>10</v>
      </c>
    </row>
    <row r="102" spans="1:8" x14ac:dyDescent="0.2">
      <c r="A102">
        <v>251</v>
      </c>
      <c r="B102" s="1">
        <v>45581</v>
      </c>
      <c r="C102" t="s">
        <v>7</v>
      </c>
      <c r="D102">
        <v>48.4</v>
      </c>
      <c r="E102">
        <v>0.16</v>
      </c>
      <c r="G102">
        <v>9</v>
      </c>
      <c r="H102" t="s">
        <v>158</v>
      </c>
    </row>
    <row r="103" spans="1:8" x14ac:dyDescent="0.2">
      <c r="A103">
        <v>264</v>
      </c>
      <c r="B103" s="1">
        <v>45595</v>
      </c>
      <c r="C103" t="s">
        <v>7</v>
      </c>
      <c r="D103">
        <v>72.2</v>
      </c>
      <c r="E103">
        <v>0.16</v>
      </c>
      <c r="F103" t="s">
        <v>37</v>
      </c>
      <c r="G103">
        <v>10</v>
      </c>
    </row>
    <row r="104" spans="1:8" x14ac:dyDescent="0.2">
      <c r="A104">
        <v>273</v>
      </c>
      <c r="B104" s="1">
        <v>45595</v>
      </c>
      <c r="C104" t="s">
        <v>7</v>
      </c>
      <c r="D104">
        <v>65.099999999999994</v>
      </c>
      <c r="E104">
        <v>0.16</v>
      </c>
      <c r="G104">
        <v>10</v>
      </c>
    </row>
    <row r="105" spans="1:8" x14ac:dyDescent="0.2">
      <c r="A105">
        <v>274</v>
      </c>
      <c r="B105" s="1">
        <v>45595</v>
      </c>
      <c r="C105" t="s">
        <v>7</v>
      </c>
      <c r="D105">
        <v>65.900000000000006</v>
      </c>
      <c r="E105">
        <v>0.16</v>
      </c>
      <c r="G105">
        <v>10</v>
      </c>
    </row>
    <row r="106" spans="1:8" x14ac:dyDescent="0.2">
      <c r="A106">
        <v>293</v>
      </c>
      <c r="B106" s="1">
        <v>45609</v>
      </c>
      <c r="C106" t="s">
        <v>7</v>
      </c>
      <c r="D106">
        <v>65.900000000000006</v>
      </c>
      <c r="E106">
        <v>0.16</v>
      </c>
      <c r="G106">
        <v>10</v>
      </c>
    </row>
    <row r="107" spans="1:8" x14ac:dyDescent="0.2">
      <c r="A107">
        <v>303</v>
      </c>
      <c r="B107" s="1">
        <v>45623</v>
      </c>
      <c r="C107" t="s">
        <v>7</v>
      </c>
      <c r="D107">
        <v>62.7</v>
      </c>
      <c r="E107">
        <v>0.16</v>
      </c>
      <c r="G107">
        <v>10</v>
      </c>
    </row>
    <row r="108" spans="1:8" x14ac:dyDescent="0.2">
      <c r="A108">
        <v>312</v>
      </c>
      <c r="B108" s="1">
        <v>45623</v>
      </c>
      <c r="C108" t="s">
        <v>7</v>
      </c>
      <c r="D108">
        <v>68.900000000000006</v>
      </c>
      <c r="E108">
        <v>0.16</v>
      </c>
      <c r="F108" t="s">
        <v>37</v>
      </c>
      <c r="H108" t="s">
        <v>214</v>
      </c>
    </row>
    <row r="109" spans="1:8" x14ac:dyDescent="0.2">
      <c r="A109">
        <v>344</v>
      </c>
      <c r="B109" s="1">
        <v>45644</v>
      </c>
      <c r="C109" t="s">
        <v>7</v>
      </c>
      <c r="D109">
        <v>91.8</v>
      </c>
      <c r="E109">
        <v>0.16</v>
      </c>
      <c r="G109">
        <v>10</v>
      </c>
    </row>
    <row r="110" spans="1:8" x14ac:dyDescent="0.2">
      <c r="A110">
        <v>356</v>
      </c>
      <c r="B110" s="1">
        <v>45665</v>
      </c>
      <c r="C110" s="20" t="s">
        <v>7</v>
      </c>
      <c r="D110">
        <v>59.3</v>
      </c>
      <c r="E110">
        <v>0.16</v>
      </c>
      <c r="G110">
        <v>10</v>
      </c>
    </row>
    <row r="111" spans="1:8" x14ac:dyDescent="0.2">
      <c r="A111">
        <v>365</v>
      </c>
      <c r="B111" s="1">
        <v>45665</v>
      </c>
      <c r="C111" t="s">
        <v>7</v>
      </c>
      <c r="D111">
        <v>62.1</v>
      </c>
      <c r="E111">
        <v>0.16</v>
      </c>
      <c r="G111">
        <v>9</v>
      </c>
    </row>
    <row r="112" spans="1:8" x14ac:dyDescent="0.2">
      <c r="A112">
        <v>379</v>
      </c>
      <c r="B112" s="1">
        <v>45679</v>
      </c>
      <c r="C112" t="s">
        <v>7</v>
      </c>
      <c r="D112">
        <v>55.4</v>
      </c>
      <c r="E112">
        <v>0.16</v>
      </c>
      <c r="F112" t="s">
        <v>37</v>
      </c>
      <c r="G112">
        <v>10</v>
      </c>
      <c r="H112" t="s">
        <v>274</v>
      </c>
    </row>
    <row r="113" spans="1:8" x14ac:dyDescent="0.2">
      <c r="A113">
        <v>480</v>
      </c>
      <c r="B113" s="1">
        <v>45791</v>
      </c>
      <c r="C113" t="s">
        <v>7</v>
      </c>
      <c r="D113">
        <v>57.8</v>
      </c>
      <c r="E113">
        <v>0.16</v>
      </c>
      <c r="G113">
        <v>15</v>
      </c>
    </row>
    <row r="114" spans="1:8" x14ac:dyDescent="0.2">
      <c r="A114">
        <v>487</v>
      </c>
      <c r="B114" s="1">
        <v>45791</v>
      </c>
      <c r="C114" t="s">
        <v>7</v>
      </c>
      <c r="D114">
        <v>72.2</v>
      </c>
      <c r="E114">
        <v>0.16</v>
      </c>
      <c r="G114">
        <v>10</v>
      </c>
    </row>
    <row r="115" spans="1:8" x14ac:dyDescent="0.2">
      <c r="A115">
        <v>34</v>
      </c>
      <c r="B115" s="1">
        <v>44944</v>
      </c>
      <c r="C115" t="s">
        <v>7</v>
      </c>
      <c r="D115">
        <v>40.6</v>
      </c>
      <c r="E115">
        <v>0.17</v>
      </c>
      <c r="F115" t="s">
        <v>37</v>
      </c>
      <c r="G115">
        <v>15</v>
      </c>
    </row>
    <row r="116" spans="1:8" x14ac:dyDescent="0.2">
      <c r="A116">
        <v>52</v>
      </c>
      <c r="B116" s="1">
        <v>44958</v>
      </c>
      <c r="C116" t="s">
        <v>7</v>
      </c>
      <c r="D116">
        <v>74.5</v>
      </c>
      <c r="E116">
        <v>0.17</v>
      </c>
      <c r="G116">
        <v>10</v>
      </c>
    </row>
    <row r="117" spans="1:8" x14ac:dyDescent="0.2">
      <c r="A117">
        <v>64</v>
      </c>
      <c r="B117" s="1">
        <v>45014</v>
      </c>
      <c r="C117" t="s">
        <v>7</v>
      </c>
      <c r="D117">
        <v>77.7</v>
      </c>
      <c r="E117">
        <v>0.17</v>
      </c>
      <c r="F117" t="s">
        <v>18</v>
      </c>
      <c r="G117">
        <v>15</v>
      </c>
    </row>
    <row r="118" spans="1:8" x14ac:dyDescent="0.2">
      <c r="A118">
        <v>130</v>
      </c>
      <c r="B118" s="1">
        <v>45245</v>
      </c>
      <c r="C118" t="s">
        <v>7</v>
      </c>
      <c r="D118">
        <v>71.599999999999994</v>
      </c>
      <c r="E118">
        <v>0.17</v>
      </c>
      <c r="F118" t="s">
        <v>37</v>
      </c>
      <c r="G118">
        <v>10</v>
      </c>
    </row>
    <row r="119" spans="1:8" x14ac:dyDescent="0.2">
      <c r="A119">
        <v>141</v>
      </c>
      <c r="B119" s="1">
        <v>45315</v>
      </c>
      <c r="C119" t="s">
        <v>7</v>
      </c>
      <c r="D119">
        <v>77.2</v>
      </c>
      <c r="E119">
        <v>0.17</v>
      </c>
      <c r="G119">
        <v>20</v>
      </c>
    </row>
    <row r="120" spans="1:8" x14ac:dyDescent="0.2">
      <c r="A120">
        <v>153</v>
      </c>
      <c r="B120" s="1">
        <v>45352</v>
      </c>
      <c r="C120" t="s">
        <v>7</v>
      </c>
      <c r="D120">
        <v>75.7</v>
      </c>
      <c r="E120">
        <v>0.17</v>
      </c>
      <c r="F120" t="s">
        <v>37</v>
      </c>
      <c r="G120">
        <v>8.3000000000000007</v>
      </c>
      <c r="H120" t="s">
        <v>149</v>
      </c>
    </row>
    <row r="121" spans="1:8" x14ac:dyDescent="0.2">
      <c r="A121">
        <v>168</v>
      </c>
      <c r="B121" s="1">
        <v>45462</v>
      </c>
      <c r="C121" t="s">
        <v>7</v>
      </c>
      <c r="D121">
        <v>70.7</v>
      </c>
      <c r="E121">
        <v>0.17</v>
      </c>
      <c r="G121">
        <v>10</v>
      </c>
    </row>
    <row r="122" spans="1:8" x14ac:dyDescent="0.2">
      <c r="A122">
        <v>172</v>
      </c>
      <c r="B122" s="1">
        <v>45462</v>
      </c>
      <c r="C122" t="s">
        <v>7</v>
      </c>
      <c r="D122">
        <v>69.400000000000006</v>
      </c>
      <c r="E122">
        <v>0.17</v>
      </c>
      <c r="F122" t="s">
        <v>37</v>
      </c>
      <c r="G122">
        <v>10</v>
      </c>
    </row>
    <row r="123" spans="1:8" x14ac:dyDescent="0.2">
      <c r="A123">
        <v>178</v>
      </c>
      <c r="B123" s="1">
        <v>45483</v>
      </c>
      <c r="C123" t="s">
        <v>7</v>
      </c>
      <c r="D123">
        <v>67.5</v>
      </c>
      <c r="E123">
        <v>0.17</v>
      </c>
      <c r="G123">
        <v>10</v>
      </c>
    </row>
    <row r="124" spans="1:8" x14ac:dyDescent="0.2">
      <c r="A124">
        <v>184</v>
      </c>
      <c r="B124" s="1">
        <v>45483</v>
      </c>
      <c r="C124" t="s">
        <v>7</v>
      </c>
      <c r="D124">
        <v>68.2</v>
      </c>
      <c r="E124">
        <v>0.17</v>
      </c>
      <c r="F124" t="s">
        <v>37</v>
      </c>
      <c r="H124" t="s">
        <v>107</v>
      </c>
    </row>
    <row r="125" spans="1:8" x14ac:dyDescent="0.2">
      <c r="A125">
        <v>202</v>
      </c>
      <c r="B125" s="1">
        <v>45518</v>
      </c>
      <c r="C125" t="s">
        <v>7</v>
      </c>
      <c r="D125">
        <v>52.4</v>
      </c>
      <c r="E125">
        <v>0.17</v>
      </c>
      <c r="F125" t="s">
        <v>37</v>
      </c>
      <c r="G125">
        <v>10</v>
      </c>
    </row>
    <row r="126" spans="1:8" x14ac:dyDescent="0.2">
      <c r="A126">
        <v>212</v>
      </c>
      <c r="B126" s="1">
        <v>45553</v>
      </c>
      <c r="C126" t="s">
        <v>7</v>
      </c>
      <c r="D126">
        <v>75.2</v>
      </c>
      <c r="E126">
        <v>0.17</v>
      </c>
      <c r="G126">
        <v>10</v>
      </c>
    </row>
    <row r="127" spans="1:8" x14ac:dyDescent="0.2">
      <c r="A127">
        <v>216</v>
      </c>
      <c r="B127" s="1">
        <v>45553</v>
      </c>
      <c r="C127" t="s">
        <v>7</v>
      </c>
      <c r="D127">
        <v>68.3</v>
      </c>
      <c r="E127">
        <v>0.17</v>
      </c>
      <c r="G127">
        <v>10</v>
      </c>
    </row>
    <row r="128" spans="1:8" x14ac:dyDescent="0.2">
      <c r="A128">
        <v>218</v>
      </c>
      <c r="B128" s="1">
        <v>45553</v>
      </c>
      <c r="C128" t="s">
        <v>7</v>
      </c>
      <c r="D128">
        <v>72.599999999999994</v>
      </c>
      <c r="E128">
        <v>0.17</v>
      </c>
      <c r="G128">
        <v>10</v>
      </c>
    </row>
    <row r="129" spans="1:8" x14ac:dyDescent="0.2">
      <c r="A129">
        <v>229</v>
      </c>
      <c r="B129" s="1">
        <v>45567</v>
      </c>
      <c r="C129" t="s">
        <v>7</v>
      </c>
      <c r="D129">
        <v>52.3</v>
      </c>
      <c r="E129">
        <v>0.17</v>
      </c>
      <c r="G129">
        <v>10</v>
      </c>
    </row>
    <row r="130" spans="1:8" ht="17" customHeight="1" x14ac:dyDescent="0.2">
      <c r="A130">
        <v>259</v>
      </c>
      <c r="B130" s="1">
        <v>45581</v>
      </c>
      <c r="C130" t="s">
        <v>7</v>
      </c>
      <c r="D130">
        <v>67</v>
      </c>
      <c r="E130">
        <v>0.17</v>
      </c>
      <c r="F130" t="s">
        <v>37</v>
      </c>
      <c r="G130">
        <v>10</v>
      </c>
    </row>
    <row r="131" spans="1:8" x14ac:dyDescent="0.2">
      <c r="A131">
        <v>261</v>
      </c>
      <c r="B131" s="1">
        <v>45581</v>
      </c>
      <c r="C131" t="s">
        <v>7</v>
      </c>
      <c r="D131">
        <v>66.7</v>
      </c>
      <c r="E131">
        <v>0.17</v>
      </c>
      <c r="F131" t="s">
        <v>37</v>
      </c>
      <c r="G131">
        <v>10</v>
      </c>
    </row>
    <row r="132" spans="1:8" x14ac:dyDescent="0.2">
      <c r="A132">
        <v>275</v>
      </c>
      <c r="B132" s="1">
        <v>45595</v>
      </c>
      <c r="C132" t="s">
        <v>7</v>
      </c>
      <c r="D132">
        <v>63.4</v>
      </c>
      <c r="E132">
        <v>0.17</v>
      </c>
      <c r="G132">
        <v>10</v>
      </c>
    </row>
    <row r="133" spans="1:8" x14ac:dyDescent="0.2">
      <c r="A133">
        <v>292</v>
      </c>
      <c r="B133" s="1">
        <v>45609</v>
      </c>
      <c r="C133" t="s">
        <v>7</v>
      </c>
      <c r="D133">
        <v>79.599999999999994</v>
      </c>
      <c r="E133">
        <v>0.17</v>
      </c>
      <c r="G133">
        <v>10</v>
      </c>
    </row>
    <row r="134" spans="1:8" x14ac:dyDescent="0.2">
      <c r="A134">
        <v>301</v>
      </c>
      <c r="B134" s="1">
        <v>45623</v>
      </c>
      <c r="C134" t="s">
        <v>7</v>
      </c>
      <c r="D134">
        <v>74.900000000000006</v>
      </c>
      <c r="E134">
        <v>0.17</v>
      </c>
      <c r="G134">
        <v>10</v>
      </c>
    </row>
    <row r="135" spans="1:8" x14ac:dyDescent="0.2">
      <c r="A135">
        <v>319</v>
      </c>
      <c r="B135" s="1">
        <v>45637</v>
      </c>
      <c r="C135" t="s">
        <v>7</v>
      </c>
      <c r="D135">
        <v>75</v>
      </c>
      <c r="E135">
        <v>0.17</v>
      </c>
      <c r="G135">
        <v>10</v>
      </c>
    </row>
    <row r="136" spans="1:8" x14ac:dyDescent="0.2">
      <c r="A136">
        <v>327</v>
      </c>
      <c r="B136" s="1">
        <v>45637</v>
      </c>
      <c r="C136" t="s">
        <v>7</v>
      </c>
      <c r="D136">
        <v>75.5</v>
      </c>
      <c r="E136">
        <v>0.17</v>
      </c>
      <c r="G136">
        <v>10</v>
      </c>
    </row>
    <row r="137" spans="1:8" x14ac:dyDescent="0.2">
      <c r="A137">
        <v>338</v>
      </c>
      <c r="B137" s="1">
        <v>45637</v>
      </c>
      <c r="C137" t="s">
        <v>7</v>
      </c>
      <c r="D137">
        <v>45.4</v>
      </c>
      <c r="E137">
        <v>0.17</v>
      </c>
      <c r="F137" t="s">
        <v>37</v>
      </c>
      <c r="G137">
        <v>10</v>
      </c>
    </row>
    <row r="138" spans="1:8" x14ac:dyDescent="0.2">
      <c r="A138">
        <v>340</v>
      </c>
      <c r="B138" s="1">
        <v>45637</v>
      </c>
      <c r="C138" t="s">
        <v>7</v>
      </c>
      <c r="D138">
        <v>68.900000000000006</v>
      </c>
      <c r="E138">
        <v>0.17</v>
      </c>
      <c r="F138" t="s">
        <v>37</v>
      </c>
      <c r="G138">
        <v>10</v>
      </c>
    </row>
    <row r="139" spans="1:8" x14ac:dyDescent="0.2">
      <c r="A139">
        <v>367</v>
      </c>
      <c r="B139" s="1">
        <v>45665</v>
      </c>
      <c r="C139" t="s">
        <v>7</v>
      </c>
      <c r="D139">
        <v>56.4</v>
      </c>
      <c r="E139">
        <v>0.17</v>
      </c>
      <c r="G139">
        <v>10</v>
      </c>
    </row>
    <row r="140" spans="1:8" x14ac:dyDescent="0.2">
      <c r="A140">
        <v>368</v>
      </c>
      <c r="B140" s="1">
        <v>45665</v>
      </c>
      <c r="C140" t="s">
        <v>7</v>
      </c>
      <c r="D140">
        <v>73.2</v>
      </c>
      <c r="E140">
        <v>0.17</v>
      </c>
      <c r="G140">
        <v>10</v>
      </c>
      <c r="H140" t="s">
        <v>273</v>
      </c>
    </row>
    <row r="141" spans="1:8" x14ac:dyDescent="0.2">
      <c r="A141">
        <v>464</v>
      </c>
      <c r="B141" s="1">
        <v>45777</v>
      </c>
      <c r="C141" t="s">
        <v>7</v>
      </c>
      <c r="D141">
        <v>67.8</v>
      </c>
      <c r="E141">
        <v>0.17</v>
      </c>
      <c r="G141">
        <v>7.5</v>
      </c>
      <c r="H141" t="s">
        <v>372</v>
      </c>
    </row>
    <row r="142" spans="1:8" x14ac:dyDescent="0.2">
      <c r="A142">
        <v>467</v>
      </c>
      <c r="B142" s="1">
        <v>45777</v>
      </c>
      <c r="C142" t="s">
        <v>7</v>
      </c>
      <c r="D142">
        <v>72.5</v>
      </c>
      <c r="E142">
        <v>0.17</v>
      </c>
      <c r="G142">
        <v>10</v>
      </c>
    </row>
    <row r="143" spans="1:8" x14ac:dyDescent="0.2">
      <c r="A143">
        <v>483</v>
      </c>
      <c r="B143" s="1">
        <v>45791</v>
      </c>
      <c r="C143" t="s">
        <v>7</v>
      </c>
      <c r="D143">
        <v>72.900000000000006</v>
      </c>
      <c r="E143">
        <v>0.17</v>
      </c>
      <c r="G143">
        <v>10</v>
      </c>
    </row>
    <row r="144" spans="1:8" x14ac:dyDescent="0.2">
      <c r="A144">
        <v>490</v>
      </c>
      <c r="B144" s="1">
        <v>45805</v>
      </c>
      <c r="C144" t="s">
        <v>7</v>
      </c>
      <c r="D144">
        <v>71</v>
      </c>
      <c r="E144">
        <v>0.17</v>
      </c>
      <c r="G144">
        <v>10</v>
      </c>
    </row>
    <row r="145" spans="1:7" x14ac:dyDescent="0.2">
      <c r="A145">
        <v>506</v>
      </c>
      <c r="B145" s="1">
        <v>45819</v>
      </c>
      <c r="C145" t="s">
        <v>7</v>
      </c>
      <c r="D145">
        <v>76.3</v>
      </c>
      <c r="E145">
        <v>0.17</v>
      </c>
      <c r="G145">
        <v>10</v>
      </c>
    </row>
    <row r="146" spans="1:7" x14ac:dyDescent="0.2">
      <c r="A146">
        <v>41</v>
      </c>
      <c r="B146" s="1">
        <v>44953</v>
      </c>
      <c r="C146" t="s">
        <v>7</v>
      </c>
      <c r="D146">
        <v>66.3</v>
      </c>
      <c r="E146">
        <v>0.18</v>
      </c>
      <c r="G146">
        <v>15</v>
      </c>
    </row>
    <row r="147" spans="1:7" x14ac:dyDescent="0.2">
      <c r="A147">
        <v>42</v>
      </c>
      <c r="B147" s="1">
        <v>44953</v>
      </c>
      <c r="C147" t="s">
        <v>7</v>
      </c>
      <c r="D147">
        <v>68</v>
      </c>
      <c r="E147">
        <v>0.18</v>
      </c>
      <c r="G147">
        <v>20</v>
      </c>
    </row>
    <row r="148" spans="1:7" x14ac:dyDescent="0.2">
      <c r="A148">
        <v>44</v>
      </c>
      <c r="B148" s="1">
        <v>44958</v>
      </c>
      <c r="C148" t="s">
        <v>7</v>
      </c>
      <c r="D148">
        <v>68.7</v>
      </c>
      <c r="E148">
        <v>0.18</v>
      </c>
      <c r="F148" t="s">
        <v>18</v>
      </c>
      <c r="G148">
        <v>15</v>
      </c>
    </row>
    <row r="149" spans="1:7" x14ac:dyDescent="0.2">
      <c r="A149">
        <v>49</v>
      </c>
      <c r="B149" s="1">
        <v>44958</v>
      </c>
      <c r="C149" t="s">
        <v>7</v>
      </c>
      <c r="D149">
        <v>69.3</v>
      </c>
      <c r="E149">
        <v>0.18</v>
      </c>
      <c r="G149">
        <v>10</v>
      </c>
    </row>
    <row r="150" spans="1:7" x14ac:dyDescent="0.2">
      <c r="A150">
        <v>68</v>
      </c>
      <c r="B150" s="1">
        <v>45014</v>
      </c>
      <c r="C150" t="s">
        <v>7</v>
      </c>
      <c r="D150">
        <v>81.599999999999994</v>
      </c>
      <c r="E150">
        <v>0.18</v>
      </c>
    </row>
    <row r="151" spans="1:7" x14ac:dyDescent="0.2">
      <c r="A151">
        <v>88</v>
      </c>
      <c r="B151" s="1">
        <v>45070</v>
      </c>
      <c r="C151" t="s">
        <v>7</v>
      </c>
      <c r="D151">
        <v>76.099999999999994</v>
      </c>
      <c r="E151">
        <v>0.18</v>
      </c>
      <c r="G151">
        <v>15</v>
      </c>
    </row>
    <row r="152" spans="1:7" x14ac:dyDescent="0.2">
      <c r="A152">
        <v>91</v>
      </c>
      <c r="B152" s="1">
        <v>45070</v>
      </c>
      <c r="C152" t="s">
        <v>7</v>
      </c>
      <c r="D152">
        <v>82.4</v>
      </c>
      <c r="E152">
        <v>0.18</v>
      </c>
      <c r="G152">
        <v>15</v>
      </c>
    </row>
    <row r="153" spans="1:7" x14ac:dyDescent="0.2">
      <c r="A153">
        <v>97</v>
      </c>
      <c r="B153" s="1">
        <v>45112</v>
      </c>
      <c r="C153" t="s">
        <v>7</v>
      </c>
      <c r="D153">
        <v>74.2</v>
      </c>
      <c r="E153">
        <v>0.18</v>
      </c>
      <c r="G153">
        <v>10</v>
      </c>
    </row>
    <row r="154" spans="1:7" x14ac:dyDescent="0.2">
      <c r="A154">
        <v>136</v>
      </c>
      <c r="B154" s="1">
        <v>45315</v>
      </c>
      <c r="C154" t="s">
        <v>7</v>
      </c>
      <c r="D154">
        <v>74.900000000000006</v>
      </c>
      <c r="E154">
        <v>0.18</v>
      </c>
      <c r="G154">
        <v>10</v>
      </c>
    </row>
    <row r="155" spans="1:7" x14ac:dyDescent="0.2">
      <c r="A155">
        <v>149</v>
      </c>
      <c r="B155" s="1">
        <v>45352</v>
      </c>
      <c r="C155" t="s">
        <v>7</v>
      </c>
      <c r="D155">
        <v>61.5</v>
      </c>
      <c r="E155">
        <v>0.18</v>
      </c>
      <c r="F155" t="s">
        <v>37</v>
      </c>
      <c r="G155">
        <v>10</v>
      </c>
    </row>
    <row r="156" spans="1:7" x14ac:dyDescent="0.2">
      <c r="A156">
        <v>157</v>
      </c>
      <c r="B156" s="1">
        <v>45392</v>
      </c>
      <c r="C156" t="s">
        <v>7</v>
      </c>
      <c r="D156">
        <v>52.2</v>
      </c>
      <c r="E156">
        <v>0.18</v>
      </c>
      <c r="F156" t="s">
        <v>18</v>
      </c>
      <c r="G156">
        <v>10</v>
      </c>
    </row>
    <row r="157" spans="1:7" x14ac:dyDescent="0.2">
      <c r="A157">
        <v>171</v>
      </c>
      <c r="B157" s="1">
        <v>45462</v>
      </c>
      <c r="C157" t="s">
        <v>7</v>
      </c>
      <c r="D157">
        <v>64.2</v>
      </c>
      <c r="E157">
        <v>0.18</v>
      </c>
      <c r="G157">
        <v>10</v>
      </c>
    </row>
    <row r="158" spans="1:7" x14ac:dyDescent="0.2">
      <c r="A158">
        <v>177</v>
      </c>
      <c r="B158" s="1">
        <v>45483</v>
      </c>
      <c r="C158" t="s">
        <v>7</v>
      </c>
      <c r="D158">
        <v>58.8</v>
      </c>
      <c r="E158">
        <v>0.18</v>
      </c>
      <c r="G158">
        <v>10</v>
      </c>
    </row>
    <row r="159" spans="1:7" x14ac:dyDescent="0.2">
      <c r="A159">
        <v>197</v>
      </c>
      <c r="B159" s="1">
        <v>45518</v>
      </c>
      <c r="C159" t="s">
        <v>7</v>
      </c>
      <c r="D159">
        <v>59.5</v>
      </c>
      <c r="E159">
        <v>0.18</v>
      </c>
      <c r="G159">
        <v>10</v>
      </c>
    </row>
    <row r="160" spans="1:7" x14ac:dyDescent="0.2">
      <c r="A160">
        <v>211</v>
      </c>
      <c r="B160" s="1">
        <v>45553</v>
      </c>
      <c r="C160" t="s">
        <v>7</v>
      </c>
      <c r="D160">
        <v>56</v>
      </c>
      <c r="E160">
        <v>0.18</v>
      </c>
      <c r="F160" t="s">
        <v>37</v>
      </c>
      <c r="G160">
        <v>10</v>
      </c>
    </row>
    <row r="161" spans="1:8" x14ac:dyDescent="0.2">
      <c r="A161">
        <v>222</v>
      </c>
      <c r="B161" s="1">
        <v>45553</v>
      </c>
      <c r="C161" t="s">
        <v>7</v>
      </c>
      <c r="D161">
        <v>68.7</v>
      </c>
      <c r="E161">
        <v>0.18</v>
      </c>
      <c r="F161" t="s">
        <v>37</v>
      </c>
      <c r="G161">
        <v>10</v>
      </c>
    </row>
    <row r="162" spans="1:8" x14ac:dyDescent="0.2">
      <c r="A162">
        <v>230</v>
      </c>
      <c r="B162" s="1">
        <v>45567</v>
      </c>
      <c r="C162" t="s">
        <v>7</v>
      </c>
      <c r="D162">
        <v>56.6</v>
      </c>
      <c r="E162">
        <v>0.18</v>
      </c>
      <c r="G162">
        <v>10</v>
      </c>
    </row>
    <row r="163" spans="1:8" x14ac:dyDescent="0.2">
      <c r="A163">
        <v>268</v>
      </c>
      <c r="B163" s="1">
        <v>45595</v>
      </c>
      <c r="C163" t="s">
        <v>7</v>
      </c>
      <c r="D163">
        <v>76.3</v>
      </c>
      <c r="E163">
        <v>0.18</v>
      </c>
      <c r="G163">
        <v>10</v>
      </c>
    </row>
    <row r="164" spans="1:8" x14ac:dyDescent="0.2">
      <c r="A164">
        <v>272</v>
      </c>
      <c r="B164" s="1">
        <v>45595</v>
      </c>
      <c r="C164" t="s">
        <v>7</v>
      </c>
      <c r="D164">
        <v>68.5</v>
      </c>
      <c r="E164">
        <v>0.18</v>
      </c>
      <c r="G164">
        <v>10</v>
      </c>
    </row>
    <row r="165" spans="1:8" x14ac:dyDescent="0.2">
      <c r="A165">
        <v>313</v>
      </c>
      <c r="B165" s="1">
        <v>45623</v>
      </c>
      <c r="C165" t="s">
        <v>7</v>
      </c>
      <c r="D165">
        <v>68.5</v>
      </c>
      <c r="E165">
        <v>0.18</v>
      </c>
      <c r="F165" t="s">
        <v>37</v>
      </c>
      <c r="G165">
        <v>10</v>
      </c>
    </row>
    <row r="166" spans="1:8" x14ac:dyDescent="0.2">
      <c r="A166">
        <v>408</v>
      </c>
      <c r="B166" s="1">
        <v>45721</v>
      </c>
      <c r="C166" t="s">
        <v>7</v>
      </c>
      <c r="D166">
        <v>72.5</v>
      </c>
      <c r="E166">
        <v>0.18</v>
      </c>
      <c r="G166">
        <v>10</v>
      </c>
      <c r="H166" t="s">
        <v>296</v>
      </c>
    </row>
    <row r="167" spans="1:8" x14ac:dyDescent="0.2">
      <c r="A167">
        <v>432</v>
      </c>
      <c r="B167" s="1">
        <v>45749</v>
      </c>
      <c r="C167" t="s">
        <v>7</v>
      </c>
      <c r="D167">
        <v>90.4</v>
      </c>
      <c r="E167">
        <v>0.18</v>
      </c>
      <c r="G167">
        <v>10</v>
      </c>
      <c r="H167" t="s">
        <v>327</v>
      </c>
    </row>
    <row r="168" spans="1:8" x14ac:dyDescent="0.2">
      <c r="A168">
        <v>438</v>
      </c>
      <c r="B168" s="1">
        <v>45749</v>
      </c>
      <c r="C168" t="s">
        <v>7</v>
      </c>
      <c r="D168">
        <v>70.400000000000006</v>
      </c>
      <c r="E168">
        <v>0.18</v>
      </c>
      <c r="F168" t="s">
        <v>37</v>
      </c>
      <c r="G168">
        <v>10</v>
      </c>
    </row>
    <row r="169" spans="1:8" x14ac:dyDescent="0.2">
      <c r="A169">
        <v>448</v>
      </c>
      <c r="B169" s="1">
        <v>45763</v>
      </c>
      <c r="C169" t="s">
        <v>7</v>
      </c>
      <c r="D169">
        <v>71</v>
      </c>
      <c r="E169">
        <v>0.18</v>
      </c>
      <c r="G169">
        <v>10</v>
      </c>
    </row>
    <row r="170" spans="1:8" x14ac:dyDescent="0.2">
      <c r="A170">
        <v>458</v>
      </c>
      <c r="B170" s="1">
        <v>45763</v>
      </c>
      <c r="C170" t="s">
        <v>7</v>
      </c>
      <c r="D170">
        <v>66.099999999999994</v>
      </c>
      <c r="E170">
        <v>0.18</v>
      </c>
      <c r="F170" t="s">
        <v>37</v>
      </c>
      <c r="G170">
        <v>10</v>
      </c>
    </row>
    <row r="171" spans="1:8" x14ac:dyDescent="0.2">
      <c r="A171">
        <v>473</v>
      </c>
      <c r="B171" s="1">
        <v>45777</v>
      </c>
      <c r="C171" t="s">
        <v>7</v>
      </c>
      <c r="D171">
        <v>66.599999999999994</v>
      </c>
      <c r="E171">
        <v>0.18</v>
      </c>
      <c r="F171" t="s">
        <v>37</v>
      </c>
      <c r="G171">
        <v>10</v>
      </c>
    </row>
    <row r="172" spans="1:8" x14ac:dyDescent="0.2">
      <c r="A172">
        <v>486</v>
      </c>
      <c r="B172" s="1">
        <v>45791</v>
      </c>
      <c r="C172" t="s">
        <v>7</v>
      </c>
      <c r="D172">
        <v>66.599999999999994</v>
      </c>
      <c r="E172">
        <v>0.18</v>
      </c>
      <c r="F172" t="s">
        <v>37</v>
      </c>
      <c r="G172">
        <v>10</v>
      </c>
    </row>
    <row r="173" spans="1:8" x14ac:dyDescent="0.2">
      <c r="A173">
        <v>500</v>
      </c>
      <c r="B173" s="1">
        <v>45805</v>
      </c>
      <c r="C173" t="s">
        <v>7</v>
      </c>
      <c r="D173">
        <v>56.1</v>
      </c>
      <c r="E173">
        <v>0.18</v>
      </c>
      <c r="F173" t="s">
        <v>37</v>
      </c>
    </row>
    <row r="174" spans="1:8" x14ac:dyDescent="0.2">
      <c r="A174">
        <v>24</v>
      </c>
      <c r="B174" s="1">
        <v>44937</v>
      </c>
      <c r="C174" t="s">
        <v>7</v>
      </c>
      <c r="D174">
        <v>58.3</v>
      </c>
      <c r="E174">
        <v>0.19</v>
      </c>
      <c r="G174">
        <v>15</v>
      </c>
    </row>
    <row r="175" spans="1:8" x14ac:dyDescent="0.2">
      <c r="A175">
        <v>32</v>
      </c>
      <c r="B175" s="1">
        <v>44944</v>
      </c>
      <c r="C175" t="s">
        <v>7</v>
      </c>
      <c r="D175">
        <v>70.5</v>
      </c>
      <c r="E175">
        <v>0.19</v>
      </c>
      <c r="G175">
        <v>14</v>
      </c>
    </row>
    <row r="176" spans="1:8" x14ac:dyDescent="0.2">
      <c r="A176">
        <v>35</v>
      </c>
      <c r="B176" s="1">
        <v>44944</v>
      </c>
      <c r="C176" t="s">
        <v>7</v>
      </c>
      <c r="D176">
        <v>81.7</v>
      </c>
      <c r="E176">
        <v>0.19</v>
      </c>
      <c r="G176">
        <v>10</v>
      </c>
    </row>
    <row r="177" spans="1:8" x14ac:dyDescent="0.2">
      <c r="A177">
        <v>43</v>
      </c>
      <c r="B177" s="1">
        <v>44958</v>
      </c>
      <c r="C177" t="s">
        <v>7</v>
      </c>
      <c r="D177">
        <v>73.400000000000006</v>
      </c>
      <c r="E177">
        <v>0.19</v>
      </c>
      <c r="G177">
        <v>15</v>
      </c>
    </row>
    <row r="178" spans="1:8" x14ac:dyDescent="0.2">
      <c r="A178">
        <v>45</v>
      </c>
      <c r="B178" s="1">
        <v>44958</v>
      </c>
      <c r="C178" t="s">
        <v>7</v>
      </c>
      <c r="D178">
        <v>71.599999999999994</v>
      </c>
      <c r="E178">
        <v>0.19</v>
      </c>
      <c r="G178">
        <v>15</v>
      </c>
      <c r="H178" t="s">
        <v>17</v>
      </c>
    </row>
    <row r="179" spans="1:8" x14ac:dyDescent="0.2">
      <c r="A179">
        <v>61</v>
      </c>
      <c r="B179" s="1">
        <v>44979</v>
      </c>
      <c r="C179" t="s">
        <v>7</v>
      </c>
      <c r="D179">
        <v>70.099999999999994</v>
      </c>
      <c r="E179">
        <v>0.19</v>
      </c>
      <c r="G179">
        <v>15</v>
      </c>
    </row>
    <row r="180" spans="1:8" x14ac:dyDescent="0.2">
      <c r="A180">
        <v>84</v>
      </c>
      <c r="B180" s="1">
        <v>45070</v>
      </c>
      <c r="C180" t="s">
        <v>7</v>
      </c>
      <c r="D180">
        <v>90</v>
      </c>
      <c r="E180">
        <v>0.19</v>
      </c>
      <c r="G180">
        <v>10</v>
      </c>
    </row>
    <row r="181" spans="1:8" x14ac:dyDescent="0.2">
      <c r="A181">
        <v>87</v>
      </c>
      <c r="B181" s="1">
        <v>45070</v>
      </c>
      <c r="C181" t="s">
        <v>7</v>
      </c>
      <c r="D181">
        <v>89.9</v>
      </c>
      <c r="E181">
        <v>0.19</v>
      </c>
      <c r="G181">
        <v>12.5</v>
      </c>
    </row>
    <row r="182" spans="1:8" x14ac:dyDescent="0.2">
      <c r="A182">
        <v>101</v>
      </c>
      <c r="B182" s="1">
        <v>45161</v>
      </c>
      <c r="C182" t="s">
        <v>7</v>
      </c>
      <c r="D182">
        <v>79.2</v>
      </c>
      <c r="E182">
        <v>0.19</v>
      </c>
      <c r="G182">
        <v>10</v>
      </c>
    </row>
    <row r="183" spans="1:8" x14ac:dyDescent="0.2">
      <c r="A183">
        <v>146</v>
      </c>
      <c r="B183" s="1">
        <v>45315</v>
      </c>
      <c r="C183" t="s">
        <v>7</v>
      </c>
      <c r="D183">
        <v>67.5</v>
      </c>
      <c r="E183">
        <v>0.19</v>
      </c>
    </row>
    <row r="184" spans="1:8" x14ac:dyDescent="0.2">
      <c r="A184">
        <v>191</v>
      </c>
      <c r="B184" s="1">
        <v>45483</v>
      </c>
      <c r="C184" t="s">
        <v>7</v>
      </c>
      <c r="D184">
        <v>64.3</v>
      </c>
      <c r="E184">
        <v>0.19</v>
      </c>
      <c r="F184" t="s">
        <v>37</v>
      </c>
      <c r="G184">
        <v>10</v>
      </c>
    </row>
    <row r="185" spans="1:8" x14ac:dyDescent="0.2">
      <c r="A185">
        <v>193</v>
      </c>
      <c r="B185" s="1">
        <v>45483</v>
      </c>
      <c r="C185" t="s">
        <v>7</v>
      </c>
      <c r="D185">
        <v>69.400000000000006</v>
      </c>
      <c r="E185">
        <v>0.19</v>
      </c>
      <c r="F185" t="s">
        <v>37</v>
      </c>
      <c r="G185">
        <v>10</v>
      </c>
    </row>
    <row r="186" spans="1:8" x14ac:dyDescent="0.2">
      <c r="A186">
        <v>206</v>
      </c>
      <c r="B186" s="1">
        <v>45518</v>
      </c>
      <c r="C186" t="s">
        <v>7</v>
      </c>
      <c r="D186">
        <v>55.6</v>
      </c>
      <c r="E186">
        <v>0.19</v>
      </c>
      <c r="F186" t="s">
        <v>37</v>
      </c>
      <c r="G186">
        <v>10</v>
      </c>
    </row>
    <row r="187" spans="1:8" x14ac:dyDescent="0.2">
      <c r="A187">
        <v>233</v>
      </c>
      <c r="B187" s="1">
        <v>45567</v>
      </c>
      <c r="C187" t="s">
        <v>7</v>
      </c>
      <c r="D187">
        <v>73.2</v>
      </c>
      <c r="E187">
        <v>0.19</v>
      </c>
      <c r="G187">
        <v>10</v>
      </c>
    </row>
    <row r="188" spans="1:8" x14ac:dyDescent="0.2">
      <c r="A188">
        <v>239</v>
      </c>
      <c r="B188" s="1">
        <v>45567</v>
      </c>
      <c r="C188" t="s">
        <v>7</v>
      </c>
      <c r="D188">
        <v>70.5</v>
      </c>
      <c r="E188">
        <v>0.19</v>
      </c>
      <c r="F188" t="s">
        <v>37</v>
      </c>
      <c r="G188">
        <v>8</v>
      </c>
    </row>
    <row r="189" spans="1:8" x14ac:dyDescent="0.2">
      <c r="A189">
        <v>245</v>
      </c>
      <c r="B189" s="1">
        <v>45567</v>
      </c>
      <c r="C189" t="s">
        <v>7</v>
      </c>
      <c r="D189">
        <v>79</v>
      </c>
      <c r="E189">
        <v>0.19</v>
      </c>
      <c r="G189">
        <v>10</v>
      </c>
    </row>
    <row r="190" spans="1:8" x14ac:dyDescent="0.2">
      <c r="A190">
        <v>271</v>
      </c>
      <c r="B190" s="1">
        <v>45595</v>
      </c>
      <c r="C190" t="s">
        <v>7</v>
      </c>
      <c r="D190">
        <v>69.400000000000006</v>
      </c>
      <c r="E190">
        <v>0.19</v>
      </c>
      <c r="F190" t="s">
        <v>37</v>
      </c>
      <c r="G190">
        <v>6</v>
      </c>
    </row>
    <row r="191" spans="1:8" x14ac:dyDescent="0.2">
      <c r="A191">
        <v>463</v>
      </c>
      <c r="B191" s="1">
        <v>45777</v>
      </c>
      <c r="C191" t="s">
        <v>7</v>
      </c>
      <c r="D191">
        <v>74.3</v>
      </c>
      <c r="E191">
        <v>0.19</v>
      </c>
      <c r="H191" t="s">
        <v>330</v>
      </c>
    </row>
    <row r="192" spans="1:8" x14ac:dyDescent="0.2">
      <c r="A192">
        <v>471</v>
      </c>
      <c r="B192" s="1">
        <v>45777</v>
      </c>
      <c r="C192" t="s">
        <v>7</v>
      </c>
      <c r="D192">
        <v>72.900000000000006</v>
      </c>
      <c r="E192">
        <v>0.19</v>
      </c>
      <c r="G192">
        <v>10</v>
      </c>
    </row>
    <row r="193" spans="1:7" x14ac:dyDescent="0.2">
      <c r="A193">
        <v>505</v>
      </c>
      <c r="B193" s="1">
        <v>45819</v>
      </c>
      <c r="C193" t="s">
        <v>7</v>
      </c>
      <c r="D193">
        <v>74.099999999999994</v>
      </c>
      <c r="E193">
        <v>0.19</v>
      </c>
      <c r="G193">
        <v>10</v>
      </c>
    </row>
    <row r="194" spans="1:7" x14ac:dyDescent="0.2">
      <c r="A194">
        <v>25</v>
      </c>
      <c r="B194" s="1">
        <v>44937</v>
      </c>
      <c r="C194" t="s">
        <v>7</v>
      </c>
      <c r="D194">
        <v>84.6</v>
      </c>
      <c r="E194">
        <v>0.2</v>
      </c>
      <c r="G194">
        <v>20</v>
      </c>
    </row>
    <row r="195" spans="1:7" x14ac:dyDescent="0.2">
      <c r="A195">
        <v>59</v>
      </c>
      <c r="B195" s="1">
        <v>44979</v>
      </c>
      <c r="C195" t="s">
        <v>7</v>
      </c>
      <c r="D195">
        <v>71.7</v>
      </c>
      <c r="E195">
        <v>0.2</v>
      </c>
    </row>
    <row r="196" spans="1:7" x14ac:dyDescent="0.2">
      <c r="A196">
        <v>71</v>
      </c>
      <c r="B196" s="1">
        <v>45042</v>
      </c>
      <c r="C196" t="s">
        <v>7</v>
      </c>
      <c r="D196">
        <v>98.1</v>
      </c>
      <c r="E196">
        <v>0.2</v>
      </c>
      <c r="G196">
        <v>25</v>
      </c>
    </row>
    <row r="197" spans="1:7" x14ac:dyDescent="0.2">
      <c r="A197">
        <v>132</v>
      </c>
      <c r="B197" s="1">
        <v>45315</v>
      </c>
      <c r="C197" t="s">
        <v>7</v>
      </c>
      <c r="D197">
        <v>46.3</v>
      </c>
      <c r="E197">
        <v>0.2</v>
      </c>
      <c r="F197" t="s">
        <v>57</v>
      </c>
      <c r="G197">
        <v>10</v>
      </c>
    </row>
    <row r="198" spans="1:7" x14ac:dyDescent="0.2">
      <c r="A198">
        <v>169</v>
      </c>
      <c r="B198" s="1">
        <v>45462</v>
      </c>
      <c r="C198" t="s">
        <v>7</v>
      </c>
      <c r="D198">
        <v>70.2</v>
      </c>
      <c r="E198">
        <v>0.2</v>
      </c>
      <c r="G198">
        <v>10</v>
      </c>
    </row>
    <row r="199" spans="1:7" x14ac:dyDescent="0.2">
      <c r="A199">
        <v>173</v>
      </c>
      <c r="B199" s="1">
        <v>45462</v>
      </c>
      <c r="C199" t="s">
        <v>7</v>
      </c>
      <c r="D199">
        <v>69</v>
      </c>
      <c r="E199">
        <v>0.2</v>
      </c>
      <c r="F199" t="s">
        <v>37</v>
      </c>
      <c r="G199">
        <v>10</v>
      </c>
    </row>
    <row r="200" spans="1:7" x14ac:dyDescent="0.2">
      <c r="A200">
        <v>204</v>
      </c>
      <c r="B200" s="1">
        <v>45518</v>
      </c>
      <c r="C200" t="s">
        <v>7</v>
      </c>
      <c r="D200">
        <v>69.400000000000006</v>
      </c>
      <c r="E200">
        <v>0.2</v>
      </c>
      <c r="G200">
        <v>10</v>
      </c>
    </row>
    <row r="201" spans="1:7" x14ac:dyDescent="0.2">
      <c r="A201">
        <v>228</v>
      </c>
      <c r="B201" s="1">
        <v>45567</v>
      </c>
      <c r="C201" t="s">
        <v>7</v>
      </c>
      <c r="D201">
        <v>63.4</v>
      </c>
      <c r="E201">
        <v>0.2</v>
      </c>
      <c r="F201" t="s">
        <v>37</v>
      </c>
      <c r="G201">
        <v>10</v>
      </c>
    </row>
    <row r="202" spans="1:7" x14ac:dyDescent="0.2">
      <c r="A202">
        <v>236</v>
      </c>
      <c r="B202" s="1">
        <v>45567</v>
      </c>
      <c r="C202" t="s">
        <v>7</v>
      </c>
      <c r="D202">
        <v>53.4</v>
      </c>
      <c r="E202">
        <v>0.2</v>
      </c>
      <c r="G202">
        <v>8</v>
      </c>
    </row>
    <row r="203" spans="1:7" x14ac:dyDescent="0.2">
      <c r="A203">
        <v>266</v>
      </c>
      <c r="B203" s="1">
        <v>45595</v>
      </c>
      <c r="C203" t="s">
        <v>7</v>
      </c>
      <c r="D203">
        <v>83</v>
      </c>
      <c r="E203">
        <v>0.2</v>
      </c>
      <c r="G203">
        <v>10</v>
      </c>
    </row>
    <row r="204" spans="1:7" x14ac:dyDescent="0.2">
      <c r="A204">
        <v>296</v>
      </c>
      <c r="B204" s="1">
        <v>45609</v>
      </c>
      <c r="C204" t="s">
        <v>7</v>
      </c>
      <c r="D204">
        <v>69.2</v>
      </c>
      <c r="E204">
        <v>0.2</v>
      </c>
    </row>
    <row r="205" spans="1:7" x14ac:dyDescent="0.2">
      <c r="A205">
        <v>299</v>
      </c>
      <c r="B205" s="1">
        <v>45609</v>
      </c>
      <c r="C205" t="s">
        <v>7</v>
      </c>
      <c r="D205">
        <v>69.599999999999994</v>
      </c>
      <c r="E205">
        <v>0.2</v>
      </c>
      <c r="F205" t="s">
        <v>37</v>
      </c>
      <c r="G205">
        <v>10</v>
      </c>
    </row>
    <row r="206" spans="1:7" x14ac:dyDescent="0.2">
      <c r="A206">
        <v>326</v>
      </c>
      <c r="B206" s="1">
        <v>45637</v>
      </c>
      <c r="C206" t="s">
        <v>7</v>
      </c>
      <c r="D206">
        <v>55.1</v>
      </c>
      <c r="E206">
        <v>0.2</v>
      </c>
      <c r="G206">
        <v>10</v>
      </c>
    </row>
    <row r="207" spans="1:7" x14ac:dyDescent="0.2">
      <c r="A207">
        <v>372</v>
      </c>
      <c r="B207" s="1">
        <v>45665</v>
      </c>
      <c r="C207" t="s">
        <v>7</v>
      </c>
      <c r="D207">
        <v>66.599999999999994</v>
      </c>
      <c r="E207">
        <v>0.2</v>
      </c>
      <c r="G207">
        <v>10</v>
      </c>
    </row>
    <row r="208" spans="1:7" x14ac:dyDescent="0.2">
      <c r="A208">
        <v>407</v>
      </c>
      <c r="B208" s="1">
        <v>45721</v>
      </c>
      <c r="C208" t="s">
        <v>7</v>
      </c>
      <c r="D208">
        <v>68.7</v>
      </c>
      <c r="E208">
        <v>0.2</v>
      </c>
      <c r="F208" t="s">
        <v>37</v>
      </c>
      <c r="G208">
        <v>10</v>
      </c>
    </row>
    <row r="209" spans="1:8" x14ac:dyDescent="0.2">
      <c r="A209">
        <v>428</v>
      </c>
      <c r="B209" s="1">
        <v>45735</v>
      </c>
      <c r="C209" t="s">
        <v>7</v>
      </c>
      <c r="D209">
        <v>66.900000000000006</v>
      </c>
      <c r="E209">
        <v>0.2</v>
      </c>
      <c r="F209" t="s">
        <v>37</v>
      </c>
      <c r="G209">
        <v>8.5</v>
      </c>
    </row>
    <row r="210" spans="1:8" ht="17" customHeight="1" x14ac:dyDescent="0.2">
      <c r="A210">
        <v>437</v>
      </c>
      <c r="B210" s="1">
        <v>45749</v>
      </c>
      <c r="C210" t="s">
        <v>7</v>
      </c>
      <c r="D210">
        <v>77.5</v>
      </c>
      <c r="E210">
        <v>0.2</v>
      </c>
      <c r="H210" t="s">
        <v>330</v>
      </c>
    </row>
    <row r="211" spans="1:8" x14ac:dyDescent="0.2">
      <c r="A211">
        <v>460</v>
      </c>
      <c r="B211" s="1">
        <v>45763</v>
      </c>
      <c r="C211" t="s">
        <v>7</v>
      </c>
      <c r="D211">
        <v>62.1</v>
      </c>
      <c r="E211">
        <v>0.2</v>
      </c>
      <c r="F211" t="s">
        <v>37</v>
      </c>
      <c r="G211">
        <v>10</v>
      </c>
    </row>
    <row r="212" spans="1:8" x14ac:dyDescent="0.2">
      <c r="A212">
        <v>22</v>
      </c>
      <c r="B212" s="1">
        <v>44937</v>
      </c>
      <c r="C212" t="s">
        <v>7</v>
      </c>
      <c r="D212">
        <v>62.7</v>
      </c>
      <c r="E212">
        <v>0.21</v>
      </c>
    </row>
    <row r="213" spans="1:8" x14ac:dyDescent="0.2">
      <c r="A213">
        <v>39</v>
      </c>
      <c r="B213" s="1">
        <v>44953</v>
      </c>
      <c r="C213" t="s">
        <v>7</v>
      </c>
      <c r="D213">
        <v>65.400000000000006</v>
      </c>
      <c r="E213">
        <v>0.21</v>
      </c>
      <c r="G213">
        <v>12</v>
      </c>
    </row>
    <row r="214" spans="1:8" x14ac:dyDescent="0.2">
      <c r="A214">
        <v>351</v>
      </c>
      <c r="B214" s="1">
        <v>45644</v>
      </c>
      <c r="C214" t="s">
        <v>7</v>
      </c>
      <c r="D214">
        <v>46.4</v>
      </c>
      <c r="E214">
        <v>0.21</v>
      </c>
      <c r="G214">
        <v>10</v>
      </c>
    </row>
    <row r="215" spans="1:8" x14ac:dyDescent="0.2">
      <c r="A215">
        <v>426</v>
      </c>
      <c r="B215" s="1">
        <v>45735</v>
      </c>
      <c r="C215" t="s">
        <v>7</v>
      </c>
      <c r="D215">
        <v>71.400000000000006</v>
      </c>
      <c r="E215">
        <v>0.21</v>
      </c>
      <c r="G215">
        <v>8.5</v>
      </c>
    </row>
    <row r="216" spans="1:8" x14ac:dyDescent="0.2">
      <c r="A216">
        <v>30</v>
      </c>
      <c r="B216" s="1">
        <v>44937</v>
      </c>
      <c r="C216" t="s">
        <v>7</v>
      </c>
      <c r="D216">
        <v>57.9</v>
      </c>
      <c r="E216">
        <v>0.22</v>
      </c>
      <c r="F216" t="s">
        <v>18</v>
      </c>
      <c r="G216">
        <v>15</v>
      </c>
    </row>
    <row r="217" spans="1:8" x14ac:dyDescent="0.2">
      <c r="A217">
        <v>38</v>
      </c>
      <c r="B217" s="1">
        <v>44953</v>
      </c>
      <c r="C217" t="s">
        <v>7</v>
      </c>
      <c r="D217">
        <v>58.1</v>
      </c>
      <c r="E217">
        <v>0.22</v>
      </c>
      <c r="F217" t="s">
        <v>37</v>
      </c>
      <c r="G217">
        <v>15</v>
      </c>
    </row>
    <row r="218" spans="1:8" x14ac:dyDescent="0.2">
      <c r="A218">
        <v>69</v>
      </c>
      <c r="B218" s="1">
        <v>45042</v>
      </c>
      <c r="C218" t="s">
        <v>7</v>
      </c>
      <c r="D218">
        <v>84</v>
      </c>
      <c r="E218">
        <v>0.22</v>
      </c>
    </row>
    <row r="219" spans="1:8" x14ac:dyDescent="0.2">
      <c r="A219">
        <v>472</v>
      </c>
      <c r="B219" s="1">
        <v>45777</v>
      </c>
      <c r="C219" t="s">
        <v>7</v>
      </c>
      <c r="D219">
        <v>72.7</v>
      </c>
      <c r="E219">
        <v>0.22</v>
      </c>
      <c r="G219">
        <v>10</v>
      </c>
    </row>
    <row r="220" spans="1:8" x14ac:dyDescent="0.2">
      <c r="A220">
        <v>27</v>
      </c>
      <c r="B220" s="1">
        <v>44937</v>
      </c>
      <c r="C220" t="s">
        <v>7</v>
      </c>
      <c r="D220">
        <v>66.2</v>
      </c>
      <c r="E220">
        <v>0.23</v>
      </c>
    </row>
    <row r="221" spans="1:8" x14ac:dyDescent="0.2">
      <c r="A221">
        <v>63</v>
      </c>
      <c r="B221" s="1">
        <v>45014</v>
      </c>
      <c r="C221" t="s">
        <v>7</v>
      </c>
      <c r="D221">
        <v>78.099999999999994</v>
      </c>
      <c r="E221">
        <v>0.23</v>
      </c>
    </row>
    <row r="222" spans="1:8" x14ac:dyDescent="0.2">
      <c r="A222">
        <v>77</v>
      </c>
      <c r="B222" s="1">
        <v>45042</v>
      </c>
      <c r="C222" t="s">
        <v>7</v>
      </c>
      <c r="D222">
        <v>90.1</v>
      </c>
      <c r="E222">
        <v>0.23</v>
      </c>
      <c r="G222">
        <v>13.3</v>
      </c>
      <c r="H222" t="s">
        <v>147</v>
      </c>
    </row>
    <row r="223" spans="1:8" x14ac:dyDescent="0.2">
      <c r="A223">
        <v>99</v>
      </c>
      <c r="B223" s="1">
        <v>45112</v>
      </c>
      <c r="C223" t="s">
        <v>7</v>
      </c>
      <c r="D223">
        <v>55.4</v>
      </c>
      <c r="E223">
        <v>0.23</v>
      </c>
      <c r="H223" t="s">
        <v>56</v>
      </c>
    </row>
    <row r="224" spans="1:8" x14ac:dyDescent="0.2">
      <c r="A224">
        <v>349</v>
      </c>
      <c r="B224" s="1">
        <v>45644</v>
      </c>
      <c r="C224" t="s">
        <v>7</v>
      </c>
      <c r="D224">
        <v>88</v>
      </c>
      <c r="E224">
        <v>0.23</v>
      </c>
      <c r="G224">
        <v>11.7</v>
      </c>
      <c r="H224" t="s">
        <v>233</v>
      </c>
    </row>
    <row r="225" spans="1:8" x14ac:dyDescent="0.2">
      <c r="A225">
        <v>444</v>
      </c>
      <c r="B225" s="1">
        <v>45763</v>
      </c>
      <c r="C225" t="s">
        <v>7</v>
      </c>
      <c r="D225">
        <v>73.099999999999994</v>
      </c>
      <c r="E225">
        <v>0.23</v>
      </c>
      <c r="H225" t="s">
        <v>330</v>
      </c>
    </row>
    <row r="226" spans="1:8" x14ac:dyDescent="0.2">
      <c r="A226">
        <v>493</v>
      </c>
      <c r="B226" s="1">
        <v>45805</v>
      </c>
      <c r="C226" t="s">
        <v>7</v>
      </c>
      <c r="D226">
        <v>89.3</v>
      </c>
      <c r="E226">
        <v>0.23</v>
      </c>
      <c r="G226">
        <v>40</v>
      </c>
      <c r="H226" t="s">
        <v>406</v>
      </c>
    </row>
    <row r="227" spans="1:8" x14ac:dyDescent="0.2">
      <c r="A227">
        <v>144</v>
      </c>
      <c r="B227" s="1">
        <v>45315</v>
      </c>
      <c r="C227" t="s">
        <v>7</v>
      </c>
      <c r="D227">
        <v>63.1</v>
      </c>
      <c r="E227">
        <v>0.24</v>
      </c>
      <c r="F227" t="s">
        <v>18</v>
      </c>
      <c r="H227" t="s">
        <v>66</v>
      </c>
    </row>
    <row r="228" spans="1:8" x14ac:dyDescent="0.2">
      <c r="A228">
        <v>200</v>
      </c>
      <c r="B228" s="1">
        <v>45518</v>
      </c>
      <c r="C228" t="s">
        <v>7</v>
      </c>
      <c r="D228">
        <v>56.1</v>
      </c>
      <c r="E228">
        <v>0.24</v>
      </c>
      <c r="F228" t="s">
        <v>37</v>
      </c>
      <c r="G228">
        <v>10</v>
      </c>
      <c r="H228" t="s">
        <v>113</v>
      </c>
    </row>
    <row r="229" spans="1:8" x14ac:dyDescent="0.2">
      <c r="A229">
        <v>423</v>
      </c>
      <c r="B229" s="1">
        <v>45735</v>
      </c>
      <c r="C229" t="s">
        <v>7</v>
      </c>
      <c r="D229">
        <v>54.6</v>
      </c>
      <c r="E229">
        <v>0.24</v>
      </c>
      <c r="G229">
        <v>20</v>
      </c>
      <c r="H229" t="s">
        <v>125</v>
      </c>
    </row>
    <row r="230" spans="1:8" x14ac:dyDescent="0.2">
      <c r="A230">
        <v>47</v>
      </c>
      <c r="B230" s="1">
        <v>44958</v>
      </c>
      <c r="C230" t="s">
        <v>7</v>
      </c>
      <c r="D230">
        <v>67.5</v>
      </c>
      <c r="E230">
        <v>0.25</v>
      </c>
    </row>
    <row r="231" spans="1:8" x14ac:dyDescent="0.2">
      <c r="A231">
        <v>58</v>
      </c>
      <c r="B231" s="1">
        <v>44979</v>
      </c>
      <c r="C231" t="s">
        <v>7</v>
      </c>
      <c r="D231">
        <v>60.2</v>
      </c>
      <c r="E231">
        <v>0.25</v>
      </c>
      <c r="F231" t="s">
        <v>18</v>
      </c>
      <c r="G231">
        <v>15</v>
      </c>
    </row>
    <row r="232" spans="1:8" x14ac:dyDescent="0.2">
      <c r="A232">
        <v>62</v>
      </c>
      <c r="B232" s="1">
        <v>44979</v>
      </c>
      <c r="C232" t="s">
        <v>7</v>
      </c>
      <c r="D232">
        <v>61.3</v>
      </c>
      <c r="E232">
        <v>0.25</v>
      </c>
      <c r="F232" t="s">
        <v>18</v>
      </c>
      <c r="G232">
        <v>12</v>
      </c>
    </row>
    <row r="233" spans="1:8" x14ac:dyDescent="0.2">
      <c r="A233">
        <v>181</v>
      </c>
      <c r="B233" s="1">
        <v>45483</v>
      </c>
      <c r="C233" t="s">
        <v>7</v>
      </c>
      <c r="D233">
        <v>71.7</v>
      </c>
      <c r="E233">
        <v>0.26</v>
      </c>
      <c r="G233">
        <v>10</v>
      </c>
    </row>
    <row r="234" spans="1:8" x14ac:dyDescent="0.2">
      <c r="A234">
        <v>363</v>
      </c>
      <c r="B234" s="1">
        <v>45665</v>
      </c>
      <c r="C234" t="s">
        <v>7</v>
      </c>
      <c r="D234">
        <v>91.9</v>
      </c>
      <c r="E234">
        <v>0.28999999999999998</v>
      </c>
      <c r="G234">
        <v>20</v>
      </c>
      <c r="H234" t="s">
        <v>242</v>
      </c>
    </row>
    <row r="235" spans="1:8" x14ac:dyDescent="0.2">
      <c r="A235">
        <v>410</v>
      </c>
      <c r="B235" s="1">
        <v>45721</v>
      </c>
      <c r="C235" t="s">
        <v>7</v>
      </c>
      <c r="D235">
        <v>69.400000000000006</v>
      </c>
      <c r="E235">
        <v>0.3</v>
      </c>
      <c r="G235">
        <v>20</v>
      </c>
      <c r="H235" t="s">
        <v>125</v>
      </c>
    </row>
    <row r="236" spans="1:8" x14ac:dyDescent="0.2">
      <c r="A236">
        <v>74</v>
      </c>
      <c r="B236" s="1">
        <v>45042</v>
      </c>
      <c r="C236" t="s">
        <v>7</v>
      </c>
      <c r="D236">
        <v>85.7</v>
      </c>
      <c r="E236">
        <v>0.31</v>
      </c>
    </row>
    <row r="237" spans="1:8" x14ac:dyDescent="0.2">
      <c r="A237">
        <v>226</v>
      </c>
      <c r="B237" s="1">
        <v>45553</v>
      </c>
      <c r="C237" t="s">
        <v>7</v>
      </c>
      <c r="D237">
        <v>66.599999999999994</v>
      </c>
      <c r="E237">
        <v>0.32</v>
      </c>
      <c r="F237" t="s">
        <v>37</v>
      </c>
      <c r="G237">
        <v>20</v>
      </c>
      <c r="H237" t="s">
        <v>125</v>
      </c>
    </row>
    <row r="238" spans="1:8" x14ac:dyDescent="0.2">
      <c r="A238">
        <v>147</v>
      </c>
      <c r="B238" s="1">
        <v>45352</v>
      </c>
      <c r="C238" t="s">
        <v>7</v>
      </c>
      <c r="D238">
        <v>82.4</v>
      </c>
      <c r="E238">
        <v>0.34</v>
      </c>
    </row>
    <row r="239" spans="1:8" x14ac:dyDescent="0.2">
      <c r="A239">
        <v>257</v>
      </c>
      <c r="B239" s="1">
        <v>45581</v>
      </c>
      <c r="C239" t="s">
        <v>7</v>
      </c>
      <c r="D239">
        <v>49.6</v>
      </c>
      <c r="E239">
        <v>0.34</v>
      </c>
      <c r="G239">
        <v>20</v>
      </c>
      <c r="H239" t="s">
        <v>161</v>
      </c>
    </row>
    <row r="240" spans="1:8" x14ac:dyDescent="0.2">
      <c r="A240">
        <v>441</v>
      </c>
      <c r="B240" s="1">
        <v>45749</v>
      </c>
      <c r="C240" t="s">
        <v>7</v>
      </c>
      <c r="D240">
        <v>88.5</v>
      </c>
      <c r="E240">
        <v>0.35</v>
      </c>
      <c r="G240">
        <v>20</v>
      </c>
    </row>
    <row r="241" spans="1:8" x14ac:dyDescent="0.2">
      <c r="A241">
        <v>494</v>
      </c>
      <c r="B241" s="1">
        <v>45805</v>
      </c>
      <c r="C241" t="s">
        <v>7</v>
      </c>
      <c r="D241">
        <v>86.3</v>
      </c>
      <c r="E241">
        <v>0.41</v>
      </c>
      <c r="G241">
        <v>40</v>
      </c>
    </row>
    <row r="242" spans="1:8" x14ac:dyDescent="0.2">
      <c r="A242">
        <v>499</v>
      </c>
      <c r="B242" s="1">
        <v>45805</v>
      </c>
      <c r="C242" t="s">
        <v>7</v>
      </c>
      <c r="D242">
        <v>94.1</v>
      </c>
      <c r="E242">
        <v>0.41</v>
      </c>
      <c r="H242" t="s">
        <v>411</v>
      </c>
    </row>
    <row r="243" spans="1:8" x14ac:dyDescent="0.2">
      <c r="A243">
        <v>401</v>
      </c>
      <c r="B243" s="1">
        <v>45693</v>
      </c>
      <c r="C243" t="s">
        <v>7</v>
      </c>
      <c r="D243">
        <v>92.9</v>
      </c>
      <c r="E243">
        <v>0.43</v>
      </c>
      <c r="G243">
        <v>30</v>
      </c>
    </row>
    <row r="244" spans="1:8" x14ac:dyDescent="0.2">
      <c r="A244">
        <v>416</v>
      </c>
      <c r="B244" s="1">
        <v>45735</v>
      </c>
      <c r="C244" t="s">
        <v>7</v>
      </c>
      <c r="D244">
        <v>84.9</v>
      </c>
      <c r="E244">
        <v>0.43</v>
      </c>
      <c r="G244">
        <v>30</v>
      </c>
    </row>
    <row r="245" spans="1:8" x14ac:dyDescent="0.2">
      <c r="A245">
        <v>220</v>
      </c>
      <c r="B245" s="1">
        <v>45553</v>
      </c>
      <c r="C245" t="s">
        <v>7</v>
      </c>
      <c r="D245">
        <v>78</v>
      </c>
      <c r="E245">
        <v>0.45</v>
      </c>
      <c r="G245">
        <v>40</v>
      </c>
    </row>
    <row r="246" spans="1:8" x14ac:dyDescent="0.2">
      <c r="A246">
        <v>399</v>
      </c>
      <c r="B246" s="1">
        <v>45693</v>
      </c>
      <c r="C246" t="s">
        <v>7</v>
      </c>
      <c r="D246">
        <v>39.700000000000003</v>
      </c>
      <c r="E246">
        <v>0.47</v>
      </c>
      <c r="G246">
        <v>30</v>
      </c>
      <c r="H246" t="s">
        <v>283</v>
      </c>
    </row>
    <row r="247" spans="1:8" x14ac:dyDescent="0.2">
      <c r="A247">
        <v>209</v>
      </c>
      <c r="B247" s="1">
        <v>45553</v>
      </c>
      <c r="C247" t="s">
        <v>7</v>
      </c>
      <c r="D247">
        <v>82.3</v>
      </c>
      <c r="E247">
        <v>0.48</v>
      </c>
      <c r="G247">
        <v>35</v>
      </c>
      <c r="H247" t="s">
        <v>120</v>
      </c>
    </row>
    <row r="248" spans="1:8" x14ac:dyDescent="0.2">
      <c r="A248">
        <v>185</v>
      </c>
      <c r="B248" s="1">
        <v>45483</v>
      </c>
      <c r="C248" t="s">
        <v>7</v>
      </c>
      <c r="D248">
        <v>73.099999999999994</v>
      </c>
      <c r="E248">
        <v>0.5</v>
      </c>
      <c r="F248" t="s">
        <v>37</v>
      </c>
      <c r="G248">
        <v>30</v>
      </c>
      <c r="H248" t="s">
        <v>108</v>
      </c>
    </row>
    <row r="249" spans="1:8" x14ac:dyDescent="0.2">
      <c r="A249">
        <v>353</v>
      </c>
      <c r="B249" s="1">
        <v>45665</v>
      </c>
      <c r="C249" t="s">
        <v>7</v>
      </c>
      <c r="D249">
        <v>92.1</v>
      </c>
      <c r="E249">
        <v>0.52</v>
      </c>
    </row>
    <row r="250" spans="1:8" x14ac:dyDescent="0.2">
      <c r="A250">
        <v>208</v>
      </c>
      <c r="B250" s="1">
        <v>45553</v>
      </c>
      <c r="C250" t="s">
        <v>7</v>
      </c>
      <c r="D250">
        <v>92.7</v>
      </c>
      <c r="E250">
        <v>0.91</v>
      </c>
      <c r="G250">
        <v>100</v>
      </c>
      <c r="H250" t="s">
        <v>119</v>
      </c>
    </row>
    <row r="251" spans="1:8" x14ac:dyDescent="0.2">
      <c r="A251">
        <v>167</v>
      </c>
      <c r="B251" s="1">
        <v>45392</v>
      </c>
      <c r="C251" t="s">
        <v>7</v>
      </c>
      <c r="D251">
        <v>91.5</v>
      </c>
      <c r="E251">
        <v>0.94</v>
      </c>
      <c r="G251">
        <v>70</v>
      </c>
    </row>
    <row r="252" spans="1:8" x14ac:dyDescent="0.2">
      <c r="A252">
        <v>402</v>
      </c>
      <c r="B252" s="1">
        <v>45721</v>
      </c>
      <c r="C252" t="s">
        <v>7</v>
      </c>
      <c r="D252">
        <v>89.6</v>
      </c>
      <c r="E252">
        <v>1</v>
      </c>
      <c r="G252">
        <v>70</v>
      </c>
      <c r="H252" t="s">
        <v>290</v>
      </c>
    </row>
    <row r="253" spans="1:8" x14ac:dyDescent="0.2">
      <c r="A253">
        <v>96</v>
      </c>
      <c r="B253" s="1">
        <v>45112</v>
      </c>
      <c r="C253" t="s">
        <v>7</v>
      </c>
      <c r="D253">
        <v>59.3</v>
      </c>
      <c r="E253" t="s">
        <v>55</v>
      </c>
      <c r="F253" t="s">
        <v>37</v>
      </c>
      <c r="H253" t="s">
        <v>54</v>
      </c>
    </row>
    <row r="254" spans="1:8" x14ac:dyDescent="0.2">
      <c r="A254">
        <v>3</v>
      </c>
      <c r="B254" s="1">
        <v>44872</v>
      </c>
      <c r="C254" t="s">
        <v>7</v>
      </c>
      <c r="D254">
        <v>58.3</v>
      </c>
      <c r="F254" t="s">
        <v>37</v>
      </c>
    </row>
    <row r="255" spans="1:8" x14ac:dyDescent="0.2">
      <c r="A255">
        <v>4</v>
      </c>
      <c r="B255" s="1">
        <v>44872</v>
      </c>
      <c r="C255" t="s">
        <v>7</v>
      </c>
      <c r="D255">
        <v>69.7</v>
      </c>
    </row>
    <row r="256" spans="1:8" x14ac:dyDescent="0.2">
      <c r="A256">
        <v>5</v>
      </c>
      <c r="B256" s="1">
        <v>44872</v>
      </c>
      <c r="C256" t="s">
        <v>7</v>
      </c>
      <c r="D256">
        <v>77.099999999999994</v>
      </c>
    </row>
    <row r="257" spans="1:6" x14ac:dyDescent="0.2">
      <c r="A257">
        <v>6</v>
      </c>
      <c r="B257" s="1">
        <v>44872</v>
      </c>
      <c r="C257" t="s">
        <v>7</v>
      </c>
      <c r="D257">
        <v>83.9</v>
      </c>
    </row>
    <row r="258" spans="1:6" x14ac:dyDescent="0.2">
      <c r="A258">
        <v>7</v>
      </c>
      <c r="B258" s="1">
        <v>44909</v>
      </c>
      <c r="C258" t="s">
        <v>7</v>
      </c>
      <c r="D258">
        <v>69.5</v>
      </c>
    </row>
    <row r="259" spans="1:6" x14ac:dyDescent="0.2">
      <c r="A259">
        <v>8</v>
      </c>
      <c r="B259" s="1">
        <v>44909</v>
      </c>
      <c r="C259" t="s">
        <v>7</v>
      </c>
      <c r="D259">
        <v>70.5</v>
      </c>
    </row>
    <row r="260" spans="1:6" x14ac:dyDescent="0.2">
      <c r="A260">
        <v>9</v>
      </c>
      <c r="B260" s="1">
        <v>44909</v>
      </c>
      <c r="C260" t="s">
        <v>7</v>
      </c>
      <c r="D260">
        <v>82.4</v>
      </c>
    </row>
    <row r="261" spans="1:6" x14ac:dyDescent="0.2">
      <c r="A261">
        <v>10</v>
      </c>
      <c r="B261" s="1">
        <v>44909</v>
      </c>
      <c r="C261" t="s">
        <v>7</v>
      </c>
      <c r="D261">
        <v>61.2</v>
      </c>
    </row>
    <row r="262" spans="1:6" x14ac:dyDescent="0.2">
      <c r="A262">
        <v>13</v>
      </c>
      <c r="B262" s="1">
        <v>44916</v>
      </c>
      <c r="C262" t="s">
        <v>7</v>
      </c>
      <c r="D262">
        <v>61.8</v>
      </c>
    </row>
    <row r="263" spans="1:6" x14ac:dyDescent="0.2">
      <c r="A263">
        <v>14</v>
      </c>
      <c r="B263" s="1">
        <v>44916</v>
      </c>
      <c r="C263" t="s">
        <v>7</v>
      </c>
      <c r="D263">
        <v>78.3</v>
      </c>
    </row>
    <row r="264" spans="1:6" x14ac:dyDescent="0.2">
      <c r="A264">
        <v>15</v>
      </c>
      <c r="B264" s="1">
        <v>44916</v>
      </c>
      <c r="C264" t="s">
        <v>7</v>
      </c>
      <c r="D264">
        <v>72.2</v>
      </c>
    </row>
    <row r="265" spans="1:6" x14ac:dyDescent="0.2">
      <c r="A265">
        <v>17</v>
      </c>
      <c r="B265" s="1">
        <v>44916</v>
      </c>
      <c r="C265" t="s">
        <v>7</v>
      </c>
      <c r="D265">
        <v>68.5</v>
      </c>
    </row>
    <row r="266" spans="1:6" x14ac:dyDescent="0.2">
      <c r="A266">
        <v>19</v>
      </c>
      <c r="B266" s="1">
        <v>44916</v>
      </c>
      <c r="C266" t="s">
        <v>7</v>
      </c>
      <c r="D266">
        <v>69.3</v>
      </c>
    </row>
    <row r="267" spans="1:6" x14ac:dyDescent="0.2">
      <c r="A267">
        <v>28</v>
      </c>
      <c r="B267" s="1">
        <v>44937</v>
      </c>
      <c r="C267" t="s">
        <v>7</v>
      </c>
      <c r="D267">
        <v>82.3</v>
      </c>
    </row>
    <row r="268" spans="1:6" x14ac:dyDescent="0.2">
      <c r="A268">
        <v>54</v>
      </c>
      <c r="B268" s="1">
        <v>44958</v>
      </c>
      <c r="C268" t="s">
        <v>7</v>
      </c>
      <c r="D268">
        <v>71</v>
      </c>
    </row>
    <row r="269" spans="1:6" x14ac:dyDescent="0.2">
      <c r="A269">
        <v>100</v>
      </c>
      <c r="B269" s="1">
        <v>45161</v>
      </c>
      <c r="C269" t="s">
        <v>7</v>
      </c>
      <c r="D269">
        <v>90.2</v>
      </c>
    </row>
    <row r="270" spans="1:6" x14ac:dyDescent="0.2">
      <c r="A270">
        <v>102</v>
      </c>
      <c r="B270" s="1">
        <v>45161</v>
      </c>
      <c r="C270" t="s">
        <v>7</v>
      </c>
      <c r="D270">
        <v>86.5</v>
      </c>
    </row>
    <row r="271" spans="1:6" x14ac:dyDescent="0.2">
      <c r="A271">
        <v>103</v>
      </c>
      <c r="B271" s="1">
        <v>45161</v>
      </c>
      <c r="C271" t="s">
        <v>7</v>
      </c>
      <c r="D271">
        <v>74.7</v>
      </c>
      <c r="F271" t="s">
        <v>18</v>
      </c>
    </row>
    <row r="272" spans="1:6" x14ac:dyDescent="0.2">
      <c r="A272">
        <v>104</v>
      </c>
      <c r="B272" s="1">
        <v>45161</v>
      </c>
      <c r="C272" t="s">
        <v>7</v>
      </c>
      <c r="D272">
        <v>84</v>
      </c>
    </row>
    <row r="273" spans="1:8" x14ac:dyDescent="0.2">
      <c r="A273">
        <v>106</v>
      </c>
      <c r="B273" s="1">
        <v>45210</v>
      </c>
      <c r="C273" t="s">
        <v>7</v>
      </c>
      <c r="D273">
        <v>53.5</v>
      </c>
      <c r="F273" t="s">
        <v>37</v>
      </c>
    </row>
    <row r="274" spans="1:8" x14ac:dyDescent="0.2">
      <c r="A274">
        <v>108</v>
      </c>
      <c r="B274" s="1">
        <v>45210</v>
      </c>
      <c r="C274" t="s">
        <v>7</v>
      </c>
      <c r="D274">
        <v>64.3</v>
      </c>
    </row>
    <row r="275" spans="1:8" x14ac:dyDescent="0.2">
      <c r="A275">
        <v>109</v>
      </c>
      <c r="B275" s="1">
        <v>45210</v>
      </c>
      <c r="C275" t="s">
        <v>7</v>
      </c>
      <c r="D275">
        <v>71</v>
      </c>
    </row>
    <row r="276" spans="1:8" x14ac:dyDescent="0.2">
      <c r="A276">
        <v>111</v>
      </c>
      <c r="B276" s="1">
        <v>45210</v>
      </c>
      <c r="C276" t="s">
        <v>7</v>
      </c>
      <c r="D276">
        <v>59.4</v>
      </c>
      <c r="F276" t="s">
        <v>57</v>
      </c>
    </row>
    <row r="277" spans="1:8" x14ac:dyDescent="0.2">
      <c r="A277">
        <v>112</v>
      </c>
      <c r="B277" s="1">
        <v>45210</v>
      </c>
      <c r="C277" t="s">
        <v>7</v>
      </c>
      <c r="D277">
        <v>70.3</v>
      </c>
    </row>
    <row r="278" spans="1:8" x14ac:dyDescent="0.2">
      <c r="A278">
        <v>113</v>
      </c>
      <c r="B278" s="1">
        <v>45210</v>
      </c>
      <c r="C278" t="s">
        <v>7</v>
      </c>
      <c r="D278">
        <v>65.7</v>
      </c>
    </row>
    <row r="279" spans="1:8" x14ac:dyDescent="0.2">
      <c r="A279">
        <v>114</v>
      </c>
      <c r="B279" s="1">
        <v>45210</v>
      </c>
      <c r="C279" t="s">
        <v>7</v>
      </c>
      <c r="D279">
        <v>61.8</v>
      </c>
    </row>
    <row r="280" spans="1:8" x14ac:dyDescent="0.2">
      <c r="A280">
        <v>115</v>
      </c>
      <c r="B280" s="1">
        <v>45210</v>
      </c>
      <c r="C280" t="s">
        <v>7</v>
      </c>
      <c r="D280">
        <v>69.900000000000006</v>
      </c>
    </row>
    <row r="281" spans="1:8" x14ac:dyDescent="0.2">
      <c r="A281">
        <v>117</v>
      </c>
      <c r="B281" s="1">
        <v>45210</v>
      </c>
      <c r="C281" t="s">
        <v>7</v>
      </c>
      <c r="D281">
        <v>70</v>
      </c>
    </row>
    <row r="282" spans="1:8" x14ac:dyDescent="0.2">
      <c r="A282">
        <v>118</v>
      </c>
      <c r="B282" s="1">
        <v>45210</v>
      </c>
      <c r="C282" t="s">
        <v>7</v>
      </c>
      <c r="D282">
        <v>66.900000000000006</v>
      </c>
    </row>
    <row r="283" spans="1:8" x14ac:dyDescent="0.2">
      <c r="A283">
        <v>119</v>
      </c>
      <c r="B283" s="1">
        <v>45210</v>
      </c>
      <c r="C283" t="s">
        <v>7</v>
      </c>
      <c r="D283">
        <v>69.900000000000006</v>
      </c>
    </row>
    <row r="284" spans="1:8" x14ac:dyDescent="0.2">
      <c r="A284">
        <v>121</v>
      </c>
      <c r="B284" s="1">
        <v>45210</v>
      </c>
      <c r="C284" t="s">
        <v>7</v>
      </c>
      <c r="D284">
        <v>53</v>
      </c>
      <c r="F284" t="s">
        <v>37</v>
      </c>
    </row>
    <row r="285" spans="1:8" x14ac:dyDescent="0.2">
      <c r="A285">
        <v>123</v>
      </c>
      <c r="B285" s="1">
        <v>45245</v>
      </c>
      <c r="C285" t="s">
        <v>7</v>
      </c>
      <c r="D285">
        <v>59.8</v>
      </c>
    </row>
    <row r="286" spans="1:8" x14ac:dyDescent="0.2">
      <c r="A286">
        <v>124</v>
      </c>
      <c r="B286" s="1">
        <v>45245</v>
      </c>
      <c r="C286" t="s">
        <v>7</v>
      </c>
      <c r="D286">
        <v>57.7</v>
      </c>
      <c r="F286" t="s">
        <v>37</v>
      </c>
    </row>
    <row r="287" spans="1:8" x14ac:dyDescent="0.2">
      <c r="A287">
        <v>126</v>
      </c>
      <c r="B287" s="1">
        <v>45245</v>
      </c>
      <c r="C287" t="s">
        <v>7</v>
      </c>
      <c r="D287">
        <v>77.8</v>
      </c>
    </row>
    <row r="288" spans="1:8" x14ac:dyDescent="0.2">
      <c r="A288">
        <v>155</v>
      </c>
      <c r="B288" s="1">
        <v>45352</v>
      </c>
      <c r="C288" t="s">
        <v>7</v>
      </c>
      <c r="D288">
        <v>83.6</v>
      </c>
      <c r="G288">
        <v>30</v>
      </c>
      <c r="H288" t="s">
        <v>91</v>
      </c>
    </row>
    <row r="289" spans="1:8" x14ac:dyDescent="0.2">
      <c r="A289">
        <v>156</v>
      </c>
      <c r="B289" s="1">
        <v>45352</v>
      </c>
      <c r="C289" t="s">
        <v>7</v>
      </c>
      <c r="D289">
        <v>76.2</v>
      </c>
      <c r="F289" t="s">
        <v>18</v>
      </c>
      <c r="G289">
        <v>15</v>
      </c>
      <c r="H289" t="s">
        <v>92</v>
      </c>
    </row>
    <row r="290" spans="1:8" x14ac:dyDescent="0.2">
      <c r="A290">
        <v>282</v>
      </c>
      <c r="B290" s="1">
        <v>45609</v>
      </c>
      <c r="C290" t="s">
        <v>7</v>
      </c>
      <c r="D290">
        <v>60.7</v>
      </c>
      <c r="H290" t="s">
        <v>182</v>
      </c>
    </row>
    <row r="291" spans="1:8" x14ac:dyDescent="0.2">
      <c r="A291">
        <v>341</v>
      </c>
      <c r="B291" s="1">
        <v>45644</v>
      </c>
      <c r="C291" t="s">
        <v>7</v>
      </c>
      <c r="D291">
        <v>55.8</v>
      </c>
      <c r="F291" t="s">
        <v>37</v>
      </c>
      <c r="H291" t="s">
        <v>236</v>
      </c>
    </row>
    <row r="292" spans="1:8" x14ac:dyDescent="0.2">
      <c r="A292">
        <v>347</v>
      </c>
      <c r="B292" s="1">
        <v>45644</v>
      </c>
      <c r="C292" t="s">
        <v>7</v>
      </c>
      <c r="D292">
        <v>48.3</v>
      </c>
      <c r="H292" t="s">
        <v>232</v>
      </c>
    </row>
    <row r="293" spans="1:8" x14ac:dyDescent="0.2">
      <c r="A293">
        <v>348</v>
      </c>
      <c r="B293" s="1">
        <v>45644</v>
      </c>
      <c r="C293" t="s">
        <v>7</v>
      </c>
      <c r="D293">
        <v>52.1</v>
      </c>
      <c r="H293" t="s">
        <v>232</v>
      </c>
    </row>
    <row r="294" spans="1:8" x14ac:dyDescent="0.2">
      <c r="A294">
        <v>425</v>
      </c>
      <c r="B294" s="1">
        <v>45735</v>
      </c>
      <c r="C294" t="s">
        <v>7</v>
      </c>
      <c r="D294">
        <v>53.5</v>
      </c>
    </row>
    <row r="295" spans="1:8" x14ac:dyDescent="0.2">
      <c r="A295">
        <v>436</v>
      </c>
      <c r="B295" s="1">
        <v>45749</v>
      </c>
      <c r="C295" s="20" t="s">
        <v>7</v>
      </c>
      <c r="D295">
        <v>69</v>
      </c>
      <c r="G295">
        <v>10</v>
      </c>
      <c r="H295" t="s">
        <v>159</v>
      </c>
    </row>
    <row r="296" spans="1:8" x14ac:dyDescent="0.2">
      <c r="A296">
        <v>439</v>
      </c>
      <c r="B296" s="1">
        <v>45749</v>
      </c>
      <c r="C296" t="s">
        <v>7</v>
      </c>
      <c r="D296">
        <v>93.6</v>
      </c>
      <c r="H296" t="s">
        <v>331</v>
      </c>
    </row>
    <row r="297" spans="1:8" x14ac:dyDescent="0.2">
      <c r="A297">
        <v>452</v>
      </c>
      <c r="B297" s="1">
        <v>45763</v>
      </c>
      <c r="C297" t="s">
        <v>7</v>
      </c>
      <c r="D297">
        <v>91.5</v>
      </c>
      <c r="H297" t="s">
        <v>370</v>
      </c>
    </row>
    <row r="298" spans="1:8" x14ac:dyDescent="0.2">
      <c r="A298">
        <v>462</v>
      </c>
      <c r="B298" s="1">
        <v>45763</v>
      </c>
      <c r="C298" t="s">
        <v>7</v>
      </c>
      <c r="D298">
        <v>40.299999999999997</v>
      </c>
      <c r="G298">
        <v>10</v>
      </c>
    </row>
    <row r="299" spans="1:8" x14ac:dyDescent="0.2">
      <c r="A299">
        <v>510</v>
      </c>
      <c r="B299" s="1">
        <v>45833</v>
      </c>
      <c r="C299" t="s">
        <v>7</v>
      </c>
      <c r="D299">
        <v>75.7</v>
      </c>
      <c r="H299" t="s">
        <v>149</v>
      </c>
    </row>
    <row r="300" spans="1:8" x14ac:dyDescent="0.2">
      <c r="A300">
        <v>512</v>
      </c>
      <c r="B300" s="1">
        <v>45833</v>
      </c>
      <c r="C300" t="s">
        <v>7</v>
      </c>
      <c r="D300">
        <v>70.2</v>
      </c>
      <c r="F300" t="s">
        <v>37</v>
      </c>
      <c r="H300" t="s">
        <v>431</v>
      </c>
    </row>
    <row r="301" spans="1:8" x14ac:dyDescent="0.2">
      <c r="A301">
        <v>513</v>
      </c>
      <c r="B301" s="1">
        <v>45833</v>
      </c>
      <c r="C301" t="s">
        <v>7</v>
      </c>
      <c r="D301">
        <v>77.7</v>
      </c>
      <c r="G301">
        <v>10</v>
      </c>
      <c r="H301" t="s">
        <v>432</v>
      </c>
    </row>
    <row r="302" spans="1:8" x14ac:dyDescent="0.2">
      <c r="A302">
        <v>514</v>
      </c>
      <c r="B302" s="1">
        <v>45833</v>
      </c>
      <c r="C302" t="s">
        <v>7</v>
      </c>
      <c r="D302">
        <v>81.400000000000006</v>
      </c>
      <c r="G302">
        <v>10</v>
      </c>
    </row>
    <row r="303" spans="1:8" x14ac:dyDescent="0.2">
      <c r="A303">
        <v>516</v>
      </c>
      <c r="B303" s="1">
        <v>45833</v>
      </c>
      <c r="C303" t="s">
        <v>7</v>
      </c>
      <c r="D303">
        <v>90.3</v>
      </c>
      <c r="G303">
        <v>10</v>
      </c>
    </row>
    <row r="304" spans="1:8" x14ac:dyDescent="0.2">
      <c r="A304">
        <v>517</v>
      </c>
      <c r="B304" s="1">
        <v>45833</v>
      </c>
      <c r="C304" t="s">
        <v>7</v>
      </c>
      <c r="D304">
        <v>79.400000000000006</v>
      </c>
    </row>
    <row r="305" spans="1:8" x14ac:dyDescent="0.2">
      <c r="A305">
        <v>518</v>
      </c>
      <c r="B305" s="1">
        <v>45833</v>
      </c>
      <c r="C305" t="s">
        <v>7</v>
      </c>
      <c r="D305">
        <v>81.5</v>
      </c>
      <c r="H305" t="s">
        <v>438</v>
      </c>
    </row>
  </sheetData>
  <sortState xmlns:xlrd2="http://schemas.microsoft.com/office/spreadsheetml/2017/richdata2" ref="A2:H305">
    <sortCondition ref="E2:E30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5789C-56AA-054A-9440-C9A4CAB8F306}">
  <dimension ref="A1:S71"/>
  <sheetViews>
    <sheetView topLeftCell="N1" zoomScale="139" workbookViewId="0">
      <selection activeCell="AA13" sqref="AA13"/>
    </sheetView>
  </sheetViews>
  <sheetFormatPr baseColWidth="10" defaultRowHeight="16" x14ac:dyDescent="0.2"/>
  <sheetData>
    <row r="1" spans="1:19" x14ac:dyDescent="0.2">
      <c r="A1" s="18" t="s">
        <v>547</v>
      </c>
      <c r="B1" s="18" t="s">
        <v>4</v>
      </c>
      <c r="C1" s="18" t="s">
        <v>1</v>
      </c>
      <c r="D1" s="18" t="s">
        <v>548</v>
      </c>
      <c r="E1" s="18" t="s">
        <v>549</v>
      </c>
      <c r="F1" s="18" t="s">
        <v>14</v>
      </c>
      <c r="G1" s="18" t="s">
        <v>550</v>
      </c>
      <c r="H1" s="18" t="s">
        <v>16</v>
      </c>
    </row>
    <row r="2" spans="1:19" x14ac:dyDescent="0.2">
      <c r="A2" s="9">
        <v>397</v>
      </c>
      <c r="B2" s="1">
        <v>45693</v>
      </c>
      <c r="C2" t="s">
        <v>6</v>
      </c>
      <c r="D2">
        <v>13</v>
      </c>
      <c r="E2">
        <v>0.08</v>
      </c>
      <c r="F2" t="s">
        <v>38</v>
      </c>
      <c r="G2">
        <v>15</v>
      </c>
      <c r="H2" s="10" t="s">
        <v>280</v>
      </c>
      <c r="Q2" t="s">
        <v>4</v>
      </c>
      <c r="R2" t="s">
        <v>142</v>
      </c>
    </row>
    <row r="3" spans="1:19" ht="17" thickBot="1" x14ac:dyDescent="0.25">
      <c r="A3" s="11">
        <v>502</v>
      </c>
      <c r="B3" s="12">
        <v>45819</v>
      </c>
      <c r="C3" s="13" t="s">
        <v>6</v>
      </c>
      <c r="D3" s="13">
        <v>13.2</v>
      </c>
      <c r="E3" s="13">
        <v>0.1</v>
      </c>
      <c r="F3" s="13" t="s">
        <v>38</v>
      </c>
      <c r="G3" s="13"/>
      <c r="H3" s="14" t="s">
        <v>421</v>
      </c>
      <c r="Q3" s="1">
        <v>44872</v>
      </c>
      <c r="R3" s="20">
        <v>13.8</v>
      </c>
      <c r="S3">
        <v>1</v>
      </c>
    </row>
    <row r="4" spans="1:19" x14ac:dyDescent="0.2">
      <c r="A4" s="9">
        <v>278</v>
      </c>
      <c r="B4" s="1">
        <v>45609</v>
      </c>
      <c r="C4" t="s">
        <v>6</v>
      </c>
      <c r="D4">
        <v>18.5</v>
      </c>
      <c r="E4">
        <v>0.11</v>
      </c>
      <c r="F4" t="s">
        <v>38</v>
      </c>
      <c r="H4" s="10" t="s">
        <v>180</v>
      </c>
      <c r="Q4" s="1">
        <v>44909</v>
      </c>
      <c r="R4" s="20">
        <v>19.8</v>
      </c>
      <c r="S4">
        <v>1</v>
      </c>
    </row>
    <row r="5" spans="1:19" x14ac:dyDescent="0.2">
      <c r="A5" s="9">
        <v>382</v>
      </c>
      <c r="B5" s="1">
        <v>45679</v>
      </c>
      <c r="C5" t="s">
        <v>6</v>
      </c>
      <c r="D5">
        <v>11.5</v>
      </c>
      <c r="E5">
        <v>0.11</v>
      </c>
      <c r="F5" t="s">
        <v>47</v>
      </c>
      <c r="H5" s="10" t="s">
        <v>270</v>
      </c>
      <c r="Q5" s="1">
        <v>44916</v>
      </c>
      <c r="R5" s="20">
        <v>21.4</v>
      </c>
      <c r="S5">
        <v>2</v>
      </c>
    </row>
    <row r="6" spans="1:19" x14ac:dyDescent="0.2">
      <c r="A6" s="9">
        <v>476</v>
      </c>
      <c r="B6" s="1">
        <v>45777</v>
      </c>
      <c r="C6" t="s">
        <v>6</v>
      </c>
      <c r="D6">
        <v>16.100000000000001</v>
      </c>
      <c r="E6">
        <v>0.12</v>
      </c>
      <c r="F6" t="s">
        <v>38</v>
      </c>
      <c r="G6">
        <v>10</v>
      </c>
      <c r="H6" s="10"/>
      <c r="Q6" s="1">
        <v>44937</v>
      </c>
      <c r="R6" s="20">
        <v>11.95</v>
      </c>
      <c r="S6">
        <v>2</v>
      </c>
    </row>
    <row r="7" spans="1:19" x14ac:dyDescent="0.2">
      <c r="A7" s="9">
        <v>48</v>
      </c>
      <c r="B7" s="1">
        <v>44958</v>
      </c>
      <c r="C7" t="s">
        <v>6</v>
      </c>
      <c r="D7">
        <v>17.3</v>
      </c>
      <c r="E7">
        <v>0.15</v>
      </c>
      <c r="F7" t="s">
        <v>15</v>
      </c>
      <c r="G7">
        <v>20</v>
      </c>
      <c r="H7" s="10"/>
      <c r="Q7" s="1">
        <v>44944</v>
      </c>
      <c r="R7" s="20">
        <v>16</v>
      </c>
      <c r="S7">
        <v>3</v>
      </c>
    </row>
    <row r="8" spans="1:19" x14ac:dyDescent="0.2">
      <c r="A8" s="9">
        <v>288</v>
      </c>
      <c r="B8" s="1">
        <v>45609</v>
      </c>
      <c r="C8" t="s">
        <v>6</v>
      </c>
      <c r="D8">
        <v>11.6</v>
      </c>
      <c r="E8">
        <v>0.15</v>
      </c>
      <c r="F8" t="s">
        <v>38</v>
      </c>
      <c r="H8" s="10"/>
      <c r="Q8" s="1">
        <v>44958</v>
      </c>
      <c r="R8" s="20">
        <v>19.3</v>
      </c>
      <c r="S8">
        <v>3</v>
      </c>
    </row>
    <row r="9" spans="1:19" x14ac:dyDescent="0.2">
      <c r="A9" s="9">
        <v>309</v>
      </c>
      <c r="B9" s="1">
        <v>45623</v>
      </c>
      <c r="C9" t="s">
        <v>6</v>
      </c>
      <c r="D9">
        <v>11.8</v>
      </c>
      <c r="E9">
        <v>0.15</v>
      </c>
      <c r="F9" t="s">
        <v>38</v>
      </c>
      <c r="G9">
        <v>20</v>
      </c>
      <c r="H9" s="10" t="s">
        <v>212</v>
      </c>
      <c r="Q9" s="1">
        <v>45042</v>
      </c>
      <c r="R9" s="20">
        <v>15.5</v>
      </c>
      <c r="S9">
        <v>2</v>
      </c>
    </row>
    <row r="10" spans="1:19" ht="17" thickBot="1" x14ac:dyDescent="0.25">
      <c r="A10" s="11">
        <v>369</v>
      </c>
      <c r="B10" s="12">
        <v>45665</v>
      </c>
      <c r="C10" s="13" t="s">
        <v>6</v>
      </c>
      <c r="D10" s="13">
        <v>12.8</v>
      </c>
      <c r="E10" s="13">
        <v>0.15</v>
      </c>
      <c r="F10" s="13" t="s">
        <v>38</v>
      </c>
      <c r="G10" s="13">
        <v>15</v>
      </c>
      <c r="H10" s="14"/>
      <c r="Q10" s="1">
        <v>45210</v>
      </c>
      <c r="R10" s="20">
        <v>18.649999999999999</v>
      </c>
      <c r="S10">
        <v>2</v>
      </c>
    </row>
    <row r="11" spans="1:19" x14ac:dyDescent="0.2">
      <c r="A11" s="9">
        <v>166</v>
      </c>
      <c r="B11" s="1">
        <v>45392</v>
      </c>
      <c r="C11" t="s">
        <v>6</v>
      </c>
      <c r="D11">
        <v>15.8</v>
      </c>
      <c r="E11">
        <v>0.16</v>
      </c>
      <c r="F11" t="s">
        <v>38</v>
      </c>
      <c r="G11">
        <v>11</v>
      </c>
      <c r="H11" s="10" t="s">
        <v>148</v>
      </c>
      <c r="Q11" s="1">
        <v>45392</v>
      </c>
      <c r="R11" s="20">
        <v>14.899999999999999</v>
      </c>
      <c r="S11">
        <v>4</v>
      </c>
    </row>
    <row r="12" spans="1:19" x14ac:dyDescent="0.2">
      <c r="A12" s="9">
        <v>183</v>
      </c>
      <c r="B12" s="1">
        <v>45483</v>
      </c>
      <c r="C12" t="s">
        <v>6</v>
      </c>
      <c r="D12">
        <v>8.5</v>
      </c>
      <c r="E12">
        <v>0.16</v>
      </c>
      <c r="F12" t="s">
        <v>38</v>
      </c>
      <c r="G12">
        <v>20</v>
      </c>
      <c r="H12" s="10"/>
      <c r="Q12" s="1">
        <v>45462</v>
      </c>
      <c r="R12" s="20">
        <v>15.1</v>
      </c>
      <c r="S12">
        <v>1</v>
      </c>
    </row>
    <row r="13" spans="1:19" x14ac:dyDescent="0.2">
      <c r="A13" s="9">
        <v>244</v>
      </c>
      <c r="B13" s="1">
        <v>45567</v>
      </c>
      <c r="C13" t="s">
        <v>6</v>
      </c>
      <c r="D13">
        <v>14.2</v>
      </c>
      <c r="E13">
        <v>0.16</v>
      </c>
      <c r="F13" t="s">
        <v>38</v>
      </c>
      <c r="H13" s="10"/>
      <c r="Q13" s="1">
        <v>45483</v>
      </c>
      <c r="R13" s="20">
        <v>10</v>
      </c>
      <c r="S13">
        <v>2</v>
      </c>
    </row>
    <row r="14" spans="1:19" x14ac:dyDescent="0.2">
      <c r="A14" s="9">
        <v>279</v>
      </c>
      <c r="B14" s="1">
        <v>45609</v>
      </c>
      <c r="C14" t="s">
        <v>6</v>
      </c>
      <c r="D14">
        <v>41.2</v>
      </c>
      <c r="E14">
        <v>0.16</v>
      </c>
      <c r="F14" t="s">
        <v>38</v>
      </c>
      <c r="H14" s="10" t="s">
        <v>181</v>
      </c>
      <c r="Q14" s="1">
        <v>45518</v>
      </c>
      <c r="R14" s="20">
        <v>12.05</v>
      </c>
      <c r="S14">
        <v>2</v>
      </c>
    </row>
    <row r="15" spans="1:19" ht="17" thickBot="1" x14ac:dyDescent="0.25">
      <c r="A15" s="9">
        <v>159</v>
      </c>
      <c r="B15" s="1">
        <v>45392</v>
      </c>
      <c r="C15" t="s">
        <v>6</v>
      </c>
      <c r="D15">
        <v>14.7</v>
      </c>
      <c r="E15">
        <v>0.17</v>
      </c>
      <c r="F15" t="s">
        <v>38</v>
      </c>
      <c r="G15">
        <v>15</v>
      </c>
      <c r="H15" s="10"/>
      <c r="Q15" s="1">
        <v>45567</v>
      </c>
      <c r="R15" s="20">
        <v>12.7</v>
      </c>
      <c r="S15">
        <v>4</v>
      </c>
    </row>
    <row r="16" spans="1:19" x14ac:dyDescent="0.2">
      <c r="A16" s="5">
        <v>37</v>
      </c>
      <c r="B16" s="6">
        <v>44944</v>
      </c>
      <c r="C16" s="7" t="s">
        <v>6</v>
      </c>
      <c r="D16" s="7">
        <v>16.600000000000001</v>
      </c>
      <c r="E16" s="7">
        <v>0.18</v>
      </c>
      <c r="F16" s="7" t="s">
        <v>38</v>
      </c>
      <c r="G16" s="7">
        <v>15</v>
      </c>
      <c r="H16" s="8"/>
      <c r="Q16" s="1">
        <v>45609</v>
      </c>
      <c r="R16" s="20">
        <v>19.633333333333336</v>
      </c>
      <c r="S16">
        <v>6</v>
      </c>
    </row>
    <row r="17" spans="1:19" ht="17" thickBot="1" x14ac:dyDescent="0.25">
      <c r="A17" s="11">
        <v>53</v>
      </c>
      <c r="B17" s="12">
        <v>44958</v>
      </c>
      <c r="C17" s="13" t="s">
        <v>6</v>
      </c>
      <c r="D17" s="13">
        <v>18.899999999999999</v>
      </c>
      <c r="E17" s="13">
        <v>0.18</v>
      </c>
      <c r="F17" s="13" t="s">
        <v>15</v>
      </c>
      <c r="G17" s="13">
        <v>20</v>
      </c>
      <c r="H17" s="14"/>
      <c r="Q17" s="1">
        <v>45623</v>
      </c>
      <c r="R17" s="20">
        <v>8.4666666666666668</v>
      </c>
      <c r="S17">
        <v>4</v>
      </c>
    </row>
    <row r="18" spans="1:19" x14ac:dyDescent="0.2">
      <c r="A18" s="9">
        <v>238</v>
      </c>
      <c r="B18" s="1">
        <v>45567</v>
      </c>
      <c r="C18" t="s">
        <v>6</v>
      </c>
      <c r="D18">
        <v>11.1</v>
      </c>
      <c r="E18">
        <v>0.18</v>
      </c>
      <c r="F18" t="s">
        <v>38</v>
      </c>
      <c r="H18" s="10" t="s">
        <v>144</v>
      </c>
      <c r="Q18" s="1">
        <v>45637</v>
      </c>
      <c r="R18" s="20">
        <v>10.5</v>
      </c>
      <c r="S18">
        <v>5</v>
      </c>
    </row>
    <row r="19" spans="1:19" x14ac:dyDescent="0.2">
      <c r="A19" s="9">
        <v>352</v>
      </c>
      <c r="B19" s="1">
        <v>45665</v>
      </c>
      <c r="C19" t="s">
        <v>6</v>
      </c>
      <c r="D19">
        <v>7.3</v>
      </c>
      <c r="E19">
        <v>0.18</v>
      </c>
      <c r="F19" t="s">
        <v>15</v>
      </c>
      <c r="H19" s="10"/>
      <c r="Q19" s="1">
        <v>45644</v>
      </c>
      <c r="R19" s="20">
        <v>12.266666666666666</v>
      </c>
      <c r="S19">
        <v>3</v>
      </c>
    </row>
    <row r="20" spans="1:19" x14ac:dyDescent="0.2">
      <c r="A20" s="9">
        <v>355</v>
      </c>
      <c r="B20" s="1">
        <v>45665</v>
      </c>
      <c r="C20" t="s">
        <v>6</v>
      </c>
      <c r="D20">
        <v>7.5</v>
      </c>
      <c r="E20">
        <v>0.18</v>
      </c>
      <c r="F20" t="s">
        <v>15</v>
      </c>
      <c r="G20">
        <v>20</v>
      </c>
      <c r="H20" s="10"/>
      <c r="Q20" s="1">
        <v>45665</v>
      </c>
      <c r="R20" s="20">
        <v>8.0374999999999996</v>
      </c>
      <c r="S20">
        <v>8</v>
      </c>
    </row>
    <row r="21" spans="1:19" x14ac:dyDescent="0.2">
      <c r="A21" s="9">
        <v>160</v>
      </c>
      <c r="B21" s="1">
        <v>45392</v>
      </c>
      <c r="C21" t="s">
        <v>6</v>
      </c>
      <c r="D21">
        <v>14.6</v>
      </c>
      <c r="E21">
        <v>0.19</v>
      </c>
      <c r="F21" t="s">
        <v>38</v>
      </c>
      <c r="G21">
        <v>20</v>
      </c>
      <c r="H21" s="10" t="s">
        <v>93</v>
      </c>
      <c r="Q21" s="1">
        <v>45679</v>
      </c>
      <c r="R21" s="20">
        <v>12.324999999999999</v>
      </c>
      <c r="S21">
        <v>4</v>
      </c>
    </row>
    <row r="22" spans="1:19" x14ac:dyDescent="0.2">
      <c r="A22" s="9">
        <v>198</v>
      </c>
      <c r="B22" s="1">
        <v>45518</v>
      </c>
      <c r="C22" t="s">
        <v>6</v>
      </c>
      <c r="D22">
        <v>8.3000000000000007</v>
      </c>
      <c r="E22">
        <v>0.19</v>
      </c>
      <c r="F22" t="s">
        <v>38</v>
      </c>
      <c r="G22">
        <v>15</v>
      </c>
      <c r="H22" s="10"/>
      <c r="Q22" s="1">
        <v>45693</v>
      </c>
      <c r="R22" s="20">
        <v>5.4692799999999995</v>
      </c>
      <c r="S22">
        <v>10</v>
      </c>
    </row>
    <row r="23" spans="1:19" x14ac:dyDescent="0.2">
      <c r="A23" s="9">
        <v>36</v>
      </c>
      <c r="B23" s="1">
        <v>44944</v>
      </c>
      <c r="C23" t="s">
        <v>6</v>
      </c>
      <c r="D23">
        <v>18.5</v>
      </c>
      <c r="E23">
        <v>0.2</v>
      </c>
      <c r="F23" t="s">
        <v>38</v>
      </c>
      <c r="G23">
        <v>20</v>
      </c>
      <c r="H23" s="10"/>
      <c r="Q23" s="1">
        <v>45721</v>
      </c>
      <c r="R23" s="20">
        <v>10.5</v>
      </c>
      <c r="S23">
        <v>3</v>
      </c>
    </row>
    <row r="24" spans="1:19" ht="17" thickBot="1" x14ac:dyDescent="0.25">
      <c r="A24" s="9">
        <v>46</v>
      </c>
      <c r="B24" s="1">
        <v>44958</v>
      </c>
      <c r="C24" t="s">
        <v>6</v>
      </c>
      <c r="D24">
        <v>21.7</v>
      </c>
      <c r="E24">
        <v>0.2</v>
      </c>
      <c r="F24" t="s">
        <v>15</v>
      </c>
      <c r="G24">
        <v>20</v>
      </c>
      <c r="H24" s="10"/>
      <c r="Q24" s="1">
        <v>45735</v>
      </c>
      <c r="R24" s="20">
        <v>9.1</v>
      </c>
      <c r="S24">
        <v>1</v>
      </c>
    </row>
    <row r="25" spans="1:19" x14ac:dyDescent="0.2">
      <c r="A25" s="5">
        <v>161</v>
      </c>
      <c r="B25" s="6">
        <v>45392</v>
      </c>
      <c r="C25" s="7" t="s">
        <v>6</v>
      </c>
      <c r="D25" s="7">
        <v>14.5</v>
      </c>
      <c r="E25" s="7">
        <v>0.2</v>
      </c>
      <c r="F25" s="7" t="s">
        <v>38</v>
      </c>
      <c r="G25" s="7">
        <v>15</v>
      </c>
      <c r="H25" s="8"/>
      <c r="Q25" s="1">
        <v>45763</v>
      </c>
      <c r="R25" s="20">
        <v>11.3</v>
      </c>
      <c r="S25">
        <v>2</v>
      </c>
    </row>
    <row r="26" spans="1:19" x14ac:dyDescent="0.2">
      <c r="A26" s="9">
        <v>237</v>
      </c>
      <c r="B26" s="1">
        <v>45567</v>
      </c>
      <c r="C26" t="s">
        <v>6</v>
      </c>
      <c r="D26">
        <v>6.9</v>
      </c>
      <c r="E26">
        <v>0.2</v>
      </c>
      <c r="F26" t="s">
        <v>38</v>
      </c>
      <c r="H26" s="10" t="s">
        <v>144</v>
      </c>
      <c r="Q26" s="1">
        <v>45777</v>
      </c>
      <c r="R26" s="20">
        <v>13.700000000000001</v>
      </c>
      <c r="S26">
        <v>2</v>
      </c>
    </row>
    <row r="27" spans="1:19" x14ac:dyDescent="0.2">
      <c r="A27" s="9">
        <v>285</v>
      </c>
      <c r="B27" s="1">
        <v>45609</v>
      </c>
      <c r="C27" t="s">
        <v>6</v>
      </c>
      <c r="D27">
        <v>13.9</v>
      </c>
      <c r="E27">
        <v>0.2</v>
      </c>
      <c r="F27" t="s">
        <v>38</v>
      </c>
      <c r="G27">
        <v>10</v>
      </c>
      <c r="H27" s="10"/>
      <c r="Q27" s="1">
        <v>45791</v>
      </c>
      <c r="R27" s="20">
        <v>15.9</v>
      </c>
      <c r="S27">
        <v>1</v>
      </c>
    </row>
    <row r="28" spans="1:19" x14ac:dyDescent="0.2">
      <c r="A28" s="9">
        <v>477</v>
      </c>
      <c r="B28" s="1">
        <v>45791</v>
      </c>
      <c r="C28" t="s">
        <v>6</v>
      </c>
      <c r="D28">
        <v>15.9</v>
      </c>
      <c r="E28">
        <v>0.2</v>
      </c>
      <c r="F28" t="s">
        <v>38</v>
      </c>
      <c r="H28" s="10" t="s">
        <v>390</v>
      </c>
      <c r="Q28" s="1">
        <v>45805</v>
      </c>
      <c r="R28" s="20">
        <v>15.2</v>
      </c>
      <c r="S28">
        <v>1</v>
      </c>
    </row>
    <row r="29" spans="1:19" x14ac:dyDescent="0.2">
      <c r="A29" s="9">
        <v>361</v>
      </c>
      <c r="B29" s="1">
        <v>45665</v>
      </c>
      <c r="C29" t="s">
        <v>6</v>
      </c>
      <c r="D29">
        <v>6.8</v>
      </c>
      <c r="E29">
        <v>0.21</v>
      </c>
      <c r="F29" t="s">
        <v>15</v>
      </c>
      <c r="G29">
        <v>15</v>
      </c>
      <c r="H29" s="10"/>
      <c r="Q29" s="1">
        <v>45819</v>
      </c>
      <c r="R29" s="20">
        <v>13.2</v>
      </c>
      <c r="S29">
        <v>1</v>
      </c>
    </row>
    <row r="30" spans="1:19" x14ac:dyDescent="0.2">
      <c r="A30" s="9">
        <v>70</v>
      </c>
      <c r="B30" s="1">
        <v>45042</v>
      </c>
      <c r="C30" t="s">
        <v>6</v>
      </c>
      <c r="D30">
        <v>16.7</v>
      </c>
      <c r="E30">
        <v>0.22</v>
      </c>
      <c r="F30" t="s">
        <v>47</v>
      </c>
      <c r="G30">
        <v>20</v>
      </c>
      <c r="H30" s="10"/>
      <c r="Q30" s="1">
        <v>45833</v>
      </c>
      <c r="R30" s="20">
        <v>14.1</v>
      </c>
      <c r="S30">
        <v>2</v>
      </c>
    </row>
    <row r="31" spans="1:19" x14ac:dyDescent="0.2">
      <c r="A31" s="9">
        <v>78</v>
      </c>
      <c r="B31" s="1">
        <v>45042</v>
      </c>
      <c r="C31" t="s">
        <v>6</v>
      </c>
      <c r="D31">
        <v>14.3</v>
      </c>
      <c r="E31">
        <v>0.23</v>
      </c>
      <c r="F31" t="s">
        <v>47</v>
      </c>
      <c r="H31" s="10"/>
      <c r="R31" s="20"/>
    </row>
    <row r="32" spans="1:19" x14ac:dyDescent="0.2">
      <c r="A32" s="9">
        <v>194</v>
      </c>
      <c r="B32" s="1">
        <v>45518</v>
      </c>
      <c r="C32" t="s">
        <v>6</v>
      </c>
      <c r="D32">
        <v>15.8</v>
      </c>
      <c r="E32">
        <v>0.23</v>
      </c>
      <c r="F32" t="s">
        <v>38</v>
      </c>
      <c r="G32">
        <v>15</v>
      </c>
      <c r="H32" s="10"/>
    </row>
    <row r="33" spans="1:8" x14ac:dyDescent="0.2">
      <c r="A33" s="9">
        <v>295</v>
      </c>
      <c r="B33" s="1">
        <v>45609</v>
      </c>
      <c r="C33" t="s">
        <v>6</v>
      </c>
      <c r="D33">
        <v>16.7</v>
      </c>
      <c r="E33">
        <v>0.24</v>
      </c>
      <c r="F33" t="s">
        <v>38</v>
      </c>
      <c r="G33">
        <v>12</v>
      </c>
      <c r="H33" s="10"/>
    </row>
    <row r="34" spans="1:8" x14ac:dyDescent="0.2">
      <c r="A34" s="9">
        <v>23</v>
      </c>
      <c r="B34" s="1">
        <v>44937</v>
      </c>
      <c r="C34" t="s">
        <v>6</v>
      </c>
      <c r="D34">
        <v>12</v>
      </c>
      <c r="E34">
        <v>0.26</v>
      </c>
      <c r="F34" t="s">
        <v>15</v>
      </c>
      <c r="H34" s="10"/>
    </row>
    <row r="35" spans="1:8" x14ac:dyDescent="0.2">
      <c r="A35" s="9">
        <v>359</v>
      </c>
      <c r="B35" s="1">
        <v>45665</v>
      </c>
      <c r="C35" t="s">
        <v>6</v>
      </c>
      <c r="D35">
        <v>6.9</v>
      </c>
      <c r="E35">
        <v>0.27</v>
      </c>
      <c r="F35" t="s">
        <v>15</v>
      </c>
      <c r="G35">
        <v>15</v>
      </c>
      <c r="H35" s="10" t="s">
        <v>237</v>
      </c>
    </row>
    <row r="36" spans="1:8" x14ac:dyDescent="0.2">
      <c r="A36" s="9">
        <v>466</v>
      </c>
      <c r="B36" s="1">
        <v>45777</v>
      </c>
      <c r="C36" t="s">
        <v>6</v>
      </c>
      <c r="D36">
        <v>11.3</v>
      </c>
      <c r="E36">
        <v>0.36</v>
      </c>
      <c r="F36" t="s">
        <v>38</v>
      </c>
      <c r="G36">
        <v>10</v>
      </c>
      <c r="H36" s="10"/>
    </row>
    <row r="37" spans="1:8" ht="17" thickBot="1" x14ac:dyDescent="0.25">
      <c r="A37" s="9">
        <v>371</v>
      </c>
      <c r="B37" s="1">
        <v>45665</v>
      </c>
      <c r="C37" t="s">
        <v>6</v>
      </c>
      <c r="D37">
        <v>7.6</v>
      </c>
      <c r="E37">
        <v>0.5</v>
      </c>
      <c r="F37" t="s">
        <v>15</v>
      </c>
      <c r="H37" s="10" t="s">
        <v>251</v>
      </c>
    </row>
    <row r="38" spans="1:8" x14ac:dyDescent="0.2">
      <c r="A38" s="5">
        <v>362</v>
      </c>
      <c r="B38" s="6">
        <v>45665</v>
      </c>
      <c r="C38" s="7" t="s">
        <v>6</v>
      </c>
      <c r="D38" s="7">
        <v>5.6</v>
      </c>
      <c r="E38" s="7">
        <v>0.56999999999999995</v>
      </c>
      <c r="F38" s="7" t="s">
        <v>15</v>
      </c>
      <c r="G38" s="7"/>
      <c r="H38" s="8" t="s">
        <v>241</v>
      </c>
    </row>
    <row r="39" spans="1:8" x14ac:dyDescent="0.2">
      <c r="A39" s="9">
        <v>190</v>
      </c>
      <c r="B39" s="1">
        <v>45483</v>
      </c>
      <c r="C39" t="s">
        <v>6</v>
      </c>
      <c r="D39">
        <v>11.5</v>
      </c>
      <c r="E39">
        <v>3.6</v>
      </c>
      <c r="F39" t="s">
        <v>38</v>
      </c>
      <c r="G39">
        <v>30</v>
      </c>
      <c r="H39" s="10" t="s">
        <v>110</v>
      </c>
    </row>
    <row r="40" spans="1:8" x14ac:dyDescent="0.2">
      <c r="A40" s="9">
        <v>2</v>
      </c>
      <c r="B40" s="1">
        <v>44872</v>
      </c>
      <c r="C40" t="s">
        <v>6</v>
      </c>
      <c r="D40">
        <v>13.8</v>
      </c>
      <c r="F40" t="s">
        <v>38</v>
      </c>
      <c r="H40" s="10"/>
    </row>
    <row r="41" spans="1:8" x14ac:dyDescent="0.2">
      <c r="A41" s="9">
        <v>12</v>
      </c>
      <c r="B41" s="1">
        <v>44909</v>
      </c>
      <c r="C41" t="s">
        <v>6</v>
      </c>
      <c r="D41">
        <v>19.8</v>
      </c>
      <c r="F41" t="s">
        <v>38</v>
      </c>
      <c r="H41" s="10"/>
    </row>
    <row r="42" spans="1:8" x14ac:dyDescent="0.2">
      <c r="A42" s="9">
        <v>16</v>
      </c>
      <c r="B42" s="1">
        <v>44916</v>
      </c>
      <c r="C42" t="s">
        <v>6</v>
      </c>
      <c r="D42">
        <v>21.8</v>
      </c>
      <c r="F42" t="s">
        <v>38</v>
      </c>
      <c r="H42" s="10"/>
    </row>
    <row r="43" spans="1:8" x14ac:dyDescent="0.2">
      <c r="A43" s="9">
        <v>18</v>
      </c>
      <c r="B43" s="1">
        <v>44916</v>
      </c>
      <c r="C43" t="s">
        <v>6</v>
      </c>
      <c r="D43">
        <v>21</v>
      </c>
      <c r="F43" t="s">
        <v>38</v>
      </c>
      <c r="H43" s="10"/>
    </row>
    <row r="44" spans="1:8" x14ac:dyDescent="0.2">
      <c r="A44" s="9">
        <v>26</v>
      </c>
      <c r="B44" s="1">
        <v>44937</v>
      </c>
      <c r="C44" t="s">
        <v>6</v>
      </c>
      <c r="D44">
        <v>11.9</v>
      </c>
      <c r="F44" t="s">
        <v>15</v>
      </c>
      <c r="H44" s="10"/>
    </row>
    <row r="45" spans="1:8" ht="17" thickBot="1" x14ac:dyDescent="0.25">
      <c r="A45" s="9">
        <v>33</v>
      </c>
      <c r="B45" s="1">
        <v>44944</v>
      </c>
      <c r="C45" t="s">
        <v>6</v>
      </c>
      <c r="D45">
        <v>12.9</v>
      </c>
      <c r="F45" t="s">
        <v>38</v>
      </c>
      <c r="H45" s="10"/>
    </row>
    <row r="46" spans="1:8" x14ac:dyDescent="0.2">
      <c r="A46" s="5">
        <v>105</v>
      </c>
      <c r="B46" s="6">
        <v>45210</v>
      </c>
      <c r="C46" s="7" t="s">
        <v>6</v>
      </c>
      <c r="D46" s="7">
        <v>17.3</v>
      </c>
      <c r="E46" s="7"/>
      <c r="F46" s="7" t="s">
        <v>47</v>
      </c>
      <c r="G46" s="7"/>
      <c r="H46" s="8"/>
    </row>
    <row r="47" spans="1:8" x14ac:dyDescent="0.2">
      <c r="A47" s="9">
        <v>122</v>
      </c>
      <c r="B47" s="1">
        <v>45210</v>
      </c>
      <c r="C47" t="s">
        <v>6</v>
      </c>
      <c r="D47">
        <v>20</v>
      </c>
      <c r="F47" t="s">
        <v>47</v>
      </c>
      <c r="H47" s="10"/>
    </row>
    <row r="48" spans="1:8" x14ac:dyDescent="0.2">
      <c r="A48" s="9">
        <v>170</v>
      </c>
      <c r="B48" s="1">
        <v>45462</v>
      </c>
      <c r="C48" t="s">
        <v>6</v>
      </c>
      <c r="D48">
        <v>15.1</v>
      </c>
      <c r="F48" t="s">
        <v>38</v>
      </c>
      <c r="H48" s="10" t="s">
        <v>101</v>
      </c>
    </row>
    <row r="49" spans="1:8" x14ac:dyDescent="0.2">
      <c r="A49" s="9">
        <v>280</v>
      </c>
      <c r="B49" s="1">
        <v>45609</v>
      </c>
      <c r="C49" t="s">
        <v>6</v>
      </c>
      <c r="D49">
        <v>15.9</v>
      </c>
      <c r="F49" t="s">
        <v>38</v>
      </c>
      <c r="H49" s="10"/>
    </row>
    <row r="50" spans="1:8" x14ac:dyDescent="0.2">
      <c r="A50" s="9">
        <v>346</v>
      </c>
      <c r="B50" s="1">
        <v>45644</v>
      </c>
      <c r="C50" t="s">
        <v>6</v>
      </c>
      <c r="D50">
        <v>12.4</v>
      </c>
      <c r="F50" t="s">
        <v>38</v>
      </c>
      <c r="H50" s="10" t="s">
        <v>231</v>
      </c>
    </row>
    <row r="51" spans="1:8" x14ac:dyDescent="0.2">
      <c r="A51" s="9">
        <v>360</v>
      </c>
      <c r="B51" s="1">
        <v>45665</v>
      </c>
      <c r="C51" t="s">
        <v>6</v>
      </c>
      <c r="D51">
        <v>9.8000000000000007</v>
      </c>
      <c r="F51" t="s">
        <v>38</v>
      </c>
      <c r="H51" s="10" t="s">
        <v>239</v>
      </c>
    </row>
    <row r="52" spans="1:8" x14ac:dyDescent="0.2">
      <c r="A52" s="9">
        <v>374</v>
      </c>
      <c r="B52" s="1">
        <v>45679</v>
      </c>
      <c r="C52" t="s">
        <v>6</v>
      </c>
      <c r="D52">
        <v>12.1</v>
      </c>
      <c r="F52" t="s">
        <v>38</v>
      </c>
      <c r="H52" s="10" t="s">
        <v>258</v>
      </c>
    </row>
    <row r="53" spans="1:8" x14ac:dyDescent="0.2">
      <c r="A53" s="9">
        <v>375</v>
      </c>
      <c r="B53" s="1">
        <v>45679</v>
      </c>
      <c r="C53" t="s">
        <v>6</v>
      </c>
      <c r="D53">
        <v>12.9</v>
      </c>
      <c r="F53" t="s">
        <v>38</v>
      </c>
      <c r="H53" s="10" t="s">
        <v>259</v>
      </c>
    </row>
    <row r="54" spans="1:8" x14ac:dyDescent="0.2">
      <c r="A54" s="9">
        <v>376</v>
      </c>
      <c r="B54" s="1">
        <v>45679</v>
      </c>
      <c r="C54" t="s">
        <v>6</v>
      </c>
      <c r="D54">
        <v>12.8</v>
      </c>
      <c r="F54" t="s">
        <v>38</v>
      </c>
      <c r="H54" s="10" t="s">
        <v>259</v>
      </c>
    </row>
    <row r="55" spans="1:8" x14ac:dyDescent="0.2">
      <c r="A55" s="9">
        <v>389</v>
      </c>
      <c r="B55" s="1">
        <v>45693</v>
      </c>
      <c r="C55" t="s">
        <v>6</v>
      </c>
      <c r="D55" s="40">
        <v>4.7850000000000001</v>
      </c>
      <c r="F55" t="s">
        <v>38</v>
      </c>
      <c r="H55" s="10" t="s">
        <v>287</v>
      </c>
    </row>
    <row r="56" spans="1:8" x14ac:dyDescent="0.2">
      <c r="A56" s="9">
        <v>390</v>
      </c>
      <c r="B56" s="1">
        <v>45693</v>
      </c>
      <c r="C56" t="s">
        <v>6</v>
      </c>
      <c r="D56" s="40">
        <v>4.524</v>
      </c>
      <c r="F56" t="s">
        <v>38</v>
      </c>
      <c r="H56" s="10" t="s">
        <v>288</v>
      </c>
    </row>
    <row r="57" spans="1:8" ht="17" thickBot="1" x14ac:dyDescent="0.25">
      <c r="A57" s="11">
        <v>391</v>
      </c>
      <c r="B57" s="12">
        <v>45693</v>
      </c>
      <c r="C57" s="13" t="s">
        <v>6</v>
      </c>
      <c r="D57" s="54">
        <v>5.3069999999999995</v>
      </c>
      <c r="E57" s="13"/>
      <c r="F57" s="13" t="s">
        <v>38</v>
      </c>
      <c r="G57" s="13"/>
      <c r="H57" s="14" t="s">
        <v>289</v>
      </c>
    </row>
    <row r="58" spans="1:8" ht="17" thickBot="1" x14ac:dyDescent="0.25">
      <c r="A58" s="9">
        <v>392</v>
      </c>
      <c r="B58" s="1">
        <v>45693</v>
      </c>
      <c r="C58" t="s">
        <v>6</v>
      </c>
      <c r="D58">
        <v>9.9</v>
      </c>
      <c r="F58" t="s">
        <v>38</v>
      </c>
      <c r="H58" s="10"/>
    </row>
    <row r="59" spans="1:8" x14ac:dyDescent="0.2">
      <c r="A59" s="5">
        <v>393</v>
      </c>
      <c r="B59" s="6">
        <v>45693</v>
      </c>
      <c r="C59" s="7" t="s">
        <v>6</v>
      </c>
      <c r="D59" s="7">
        <v>11.4</v>
      </c>
      <c r="E59" s="7"/>
      <c r="F59" s="7" t="s">
        <v>38</v>
      </c>
      <c r="G59" s="7"/>
      <c r="H59" s="8"/>
    </row>
    <row r="60" spans="1:8" x14ac:dyDescent="0.2">
      <c r="A60" s="9">
        <v>404</v>
      </c>
      <c r="B60" s="1">
        <v>45721</v>
      </c>
      <c r="C60" t="s">
        <v>6</v>
      </c>
      <c r="D60">
        <v>9.6999999999999993</v>
      </c>
      <c r="F60" t="s">
        <v>38</v>
      </c>
      <c r="H60" s="10" t="s">
        <v>306</v>
      </c>
    </row>
    <row r="61" spans="1:8" x14ac:dyDescent="0.2">
      <c r="A61" s="9">
        <v>415</v>
      </c>
      <c r="B61" s="1">
        <v>45721</v>
      </c>
      <c r="C61" t="s">
        <v>6</v>
      </c>
      <c r="D61" s="20">
        <v>10.5</v>
      </c>
      <c r="F61" t="s">
        <v>38</v>
      </c>
      <c r="H61" s="10"/>
    </row>
    <row r="62" spans="1:8" ht="17" thickBot="1" x14ac:dyDescent="0.25">
      <c r="A62" s="11">
        <v>417</v>
      </c>
      <c r="B62" s="12">
        <v>45735</v>
      </c>
      <c r="C62" s="13" t="s">
        <v>6</v>
      </c>
      <c r="D62" s="13">
        <v>9.1</v>
      </c>
      <c r="E62" s="13"/>
      <c r="F62" s="13" t="s">
        <v>38</v>
      </c>
      <c r="G62" s="13"/>
      <c r="H62" s="14" t="s">
        <v>325</v>
      </c>
    </row>
    <row r="63" spans="1:8" x14ac:dyDescent="0.2">
      <c r="A63" s="5">
        <v>443</v>
      </c>
      <c r="B63" s="6">
        <v>45763</v>
      </c>
      <c r="C63" s="7" t="s">
        <v>6</v>
      </c>
      <c r="D63" s="7">
        <v>12.3</v>
      </c>
      <c r="E63" s="7"/>
      <c r="F63" s="7" t="s">
        <v>38</v>
      </c>
      <c r="G63" s="7">
        <v>15</v>
      </c>
      <c r="H63" s="8"/>
    </row>
    <row r="64" spans="1:8" ht="17" thickBot="1" x14ac:dyDescent="0.25">
      <c r="A64" s="9">
        <v>453</v>
      </c>
      <c r="B64" s="1">
        <v>45763</v>
      </c>
      <c r="C64" t="s">
        <v>6</v>
      </c>
      <c r="D64" s="18">
        <v>10.3</v>
      </c>
      <c r="F64" t="s">
        <v>38</v>
      </c>
      <c r="H64" s="10" t="s">
        <v>367</v>
      </c>
    </row>
    <row r="65" spans="1:8" ht="17" thickBot="1" x14ac:dyDescent="0.25">
      <c r="A65" s="5">
        <v>498</v>
      </c>
      <c r="B65" s="6">
        <v>45805</v>
      </c>
      <c r="C65" s="7" t="s">
        <v>6</v>
      </c>
      <c r="D65" s="7">
        <v>15.2</v>
      </c>
      <c r="E65" s="7"/>
      <c r="F65" s="7" t="s">
        <v>38</v>
      </c>
      <c r="G65" s="7"/>
      <c r="H65" s="8" t="s">
        <v>418</v>
      </c>
    </row>
    <row r="66" spans="1:8" x14ac:dyDescent="0.2">
      <c r="A66" s="5">
        <v>508</v>
      </c>
      <c r="B66" s="6">
        <v>45833</v>
      </c>
      <c r="C66" s="7" t="s">
        <v>6</v>
      </c>
      <c r="D66" s="7">
        <v>11.8</v>
      </c>
      <c r="E66" s="7"/>
      <c r="F66" s="7" t="s">
        <v>38</v>
      </c>
      <c r="G66" s="7">
        <v>30</v>
      </c>
      <c r="H66" s="8" t="s">
        <v>426</v>
      </c>
    </row>
    <row r="67" spans="1:8" ht="17" thickBot="1" x14ac:dyDescent="0.25">
      <c r="A67" s="11">
        <v>519</v>
      </c>
      <c r="B67" s="12">
        <v>45833</v>
      </c>
      <c r="C67" s="13" t="s">
        <v>6</v>
      </c>
      <c r="D67" s="13">
        <v>14.1</v>
      </c>
      <c r="E67" s="13"/>
      <c r="F67" s="13" t="s">
        <v>38</v>
      </c>
      <c r="G67" s="13"/>
      <c r="H67" s="14"/>
    </row>
    <row r="69" spans="1:8" x14ac:dyDescent="0.2">
      <c r="E69">
        <f>MIN(E2:E39)</f>
        <v>0.08</v>
      </c>
    </row>
    <row r="70" spans="1:8" x14ac:dyDescent="0.2">
      <c r="E70">
        <f>MAX(E2:E39)</f>
        <v>3.6</v>
      </c>
    </row>
    <row r="71" spans="1:8" x14ac:dyDescent="0.2">
      <c r="D71" t="s">
        <v>142</v>
      </c>
      <c r="E71" s="46">
        <f>AVERAGE(E6:E34)</f>
        <v>0.18620689655172418</v>
      </c>
    </row>
  </sheetData>
  <sortState xmlns:xlrd2="http://schemas.microsoft.com/office/spreadsheetml/2017/richdata2" ref="A2:H67">
    <sortCondition ref="E2:E67"/>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data</vt:lpstr>
      <vt:lpstr>cocaine_HCl</vt:lpstr>
      <vt:lpstr>cocaine_base</vt:lpstr>
      <vt:lpstr>Hero</vt:lpstr>
      <vt:lpstr>Coupages NIR</vt:lpstr>
      <vt:lpstr>Basification</vt:lpstr>
      <vt:lpstr>Ages et sexe (antenne)</vt:lpstr>
      <vt:lpstr>Boulettes</vt:lpstr>
      <vt:lpstr>Pacson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Pierre Esseiva</cp:lastModifiedBy>
  <dcterms:created xsi:type="dcterms:W3CDTF">2023-01-18T10:49:13Z</dcterms:created>
  <dcterms:modified xsi:type="dcterms:W3CDTF">2026-04-14T20:31:00Z</dcterms:modified>
</cp:coreProperties>
</file>